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usarla" sheetId="1" state="visible" r:id="rId3"/>
    <sheet name="1. Costes fijos" sheetId="2" state="visible" r:id="rId4"/>
    <sheet name="2. Productos" sheetId="3" state="visible" r:id="rId5"/>
    <sheet name="3. Servic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5" authorId="0">
      <text>
        <r>
          <rPr>
            <sz val="10"/>
            <rFont val="Arial"/>
            <family val="2"/>
          </rPr>
          <t xml:space="preserve">Sobre el precio sin IVA. 35% = de cada 100 € sin IVA te quedan 35 € tras pagar todos los costes.</t>
        </r>
      </text>
    </comment>
    <comment ref="L5" authorId="0">
      <text>
        <r>
          <rPr>
            <sz val="10"/>
            <rFont val="Arial"/>
            <family val="2"/>
          </rPr>
          <t xml:space="preserve">IVA general de los servicios de estética: 21%.</t>
        </r>
      </text>
    </comment>
  </commentList>
</comments>
</file>

<file path=xl/sharedStrings.xml><?xml version="1.0" encoding="utf-8"?>
<sst xmlns="http://schemas.openxmlformats.org/spreadsheetml/2006/main" count="116" uniqueCount="98">
  <si>
    <t xml:space="preserve">Calculadora de precios para centros de estética</t>
  </si>
  <si>
    <t xml:space="preserve">Godolphy · Versión 2027</t>
  </si>
  <si>
    <t xml:space="preserve">Para qué sirve</t>
  </si>
  <si>
    <t xml:space="preserve">Calcula cuánto te cuesta de verdad cada servicio (producto, tu tiempo y la parte del alquiler y gastos fijos que le toca) y qué precio deberías cobrar para ganar el margen que quieres. Si ya tienes precio, te dice cuánto ganas realmente.</t>
  </si>
  <si>
    <t xml:space="preserve">Cómo rellenarla (10 minutos)</t>
  </si>
  <si>
    <t xml:space="preserve">1. Pestaña «1. Costes fijos»: pon tus gastos de cada mes, los días y horas que abres, cuántas cabinas o puestos trabajan a la vez y cuánto quieres cobrar (o pagas) por hora de profesional.</t>
  </si>
  <si>
    <t xml:space="preserve">2. Pestaña «2. Productos»: apunta los productos que gastas en los servicios, con el tamaño del envase y lo que te cuesta.</t>
  </si>
  <si>
    <t xml:space="preserve">3. Pestaña «3. Servicios»: crea cada servicio con su duración, los productos que usa y el margen que quieres. Si ya tienes un precio, ponlo en «Tu precio actual» y verás tu margen real.</t>
  </si>
  <si>
    <t xml:space="preserve">Leyenda</t>
  </si>
  <si>
    <t xml:space="preserve">Celdas lila con texto azul = las rellenas tú. Celdas blancas con texto negro = se calculan solas, no las toques.</t>
  </si>
  <si>
    <t xml:space="preserve">Los datos que vienen puestos son un ejemplo para que veas cómo funciona. Sustitúyelos por los tuyos.</t>
  </si>
  <si>
    <t xml:space="preserve">Tres cosas importantes</t>
  </si>
  <si>
    <t xml:space="preserve">• Pon los costes SIN IVA si eres autónoma o sociedad y te deduces el IVA de tus compras. Si no te lo deduces, ponlos con IVA.</t>
  </si>
  <si>
    <t xml:space="preserve">• La ocupación es el porcentaje de horas en que de verdad tienes clientas. Casi ningún centro está al 100%: si pones un número realista, el precio también lo será.</t>
  </si>
  <si>
    <t xml:space="preserve">• El margen se calcula sobre el precio sin IVA. Un 30% de margen significa que, de cada 100 € que cobras (sin IVA), te quedan 30 € después de pagar todos los costes.</t>
  </si>
  <si>
    <t xml:space="preserve">¿Te cuesta mantener el Excel al día?</t>
  </si>
  <si>
    <t xml:space="preserve">Godolphy calcula tus números a partir de tus citas y cobros, sin hojas de cálculo: www.godolphy.com</t>
  </si>
  <si>
    <t xml:space="preserve">1. Tus costes fijos de cada mes</t>
  </si>
  <si>
    <t xml:space="preserve">Lo que pagas cada mes tengas clientas o no. Ejemplo: sustitúyelo por tus cifras.</t>
  </si>
  <si>
    <t xml:space="preserve">Gasto mensual</t>
  </si>
  <si>
    <t xml:space="preserve">Importe (€/mes)</t>
  </si>
  <si>
    <t xml:space="preserve">Notas</t>
  </si>
  <si>
    <t xml:space="preserve">Alquiler del local</t>
  </si>
  <si>
    <t xml:space="preserve">Luz, agua e internet</t>
  </si>
  <si>
    <t xml:space="preserve">Cuota de autónoma / Seguridad Social</t>
  </si>
  <si>
    <t xml:space="preserve">Tarifa plana el primer año; después según rendimientos</t>
  </si>
  <si>
    <t xml:space="preserve">Seguro de responsabilidad civil</t>
  </si>
  <si>
    <t xml:space="preserve">Si lo pagas al año, divídelo entre 12</t>
  </si>
  <si>
    <t xml:space="preserve">Gestoría</t>
  </si>
  <si>
    <t xml:space="preserve">Software (agenda, reservas, facturación)</t>
  </si>
  <si>
    <t xml:space="preserve">Marketing y publicidad</t>
  </si>
  <si>
    <t xml:space="preserve">Amortización de aparatos y mobiliario</t>
  </si>
  <si>
    <t xml:space="preserve">Ej.: 6.000 € de equipo a 5 años = 100 €/mes</t>
  </si>
  <si>
    <t xml:space="preserve">Otros</t>
  </si>
  <si>
    <t xml:space="preserve">Total costes fijos al mes</t>
  </si>
  <si>
    <t xml:space="preserve">Tu horario y tu capacidad</t>
  </si>
  <si>
    <t xml:space="preserve">Dato</t>
  </si>
  <si>
    <t xml:space="preserve">Valor</t>
  </si>
  <si>
    <t xml:space="preserve">Días que abres al mes</t>
  </si>
  <si>
    <t xml:space="preserve">Horas que abres cada día</t>
  </si>
  <si>
    <t xml:space="preserve">Cabinas o puestos trabajando a la vez</t>
  </si>
  <si>
    <t xml:space="preserve">Cuántas clientas puedes atender al mismo tiempo</t>
  </si>
  <si>
    <t xml:space="preserve">Ocupación realista</t>
  </si>
  <si>
    <t xml:space="preserve">% de horas con clienta. Empieza con 50-70% si no lo sabes</t>
  </si>
  <si>
    <t xml:space="preserve">Coste por hora de profesional</t>
  </si>
  <si>
    <t xml:space="preserve">Si tienes equipo: sueldo + Seguridad Social ÷ horas trabajadas. Si eres tú: lo que quieres ganar por hora</t>
  </si>
  <si>
    <t xml:space="preserve">Horas de servicio al mes</t>
  </si>
  <si>
    <t xml:space="preserve">Horas en las que de verdad facturas</t>
  </si>
  <si>
    <t xml:space="preserve">Coste fijo por hora de servicio</t>
  </si>
  <si>
    <t xml:space="preserve">Lo que le toca pagar a cada hora de servicio del alquiler y los gastos fijos</t>
  </si>
  <si>
    <t xml:space="preserve">2. Productos que usas en los servicios</t>
  </si>
  <si>
    <t xml:space="preserve">Un producto por fila. «Unidad» es cómo lo mides al usarlo: ml, g o unidades. Ejemplo: sustitúyelo por tus productos.</t>
  </si>
  <si>
    <t xml:space="preserve">Producto</t>
  </si>
  <si>
    <t xml:space="preserve">Unidad</t>
  </si>
  <si>
    <t xml:space="preserve">Cantidad del envase</t>
  </si>
  <si>
    <t xml:space="preserve">Precio del envase (€)</t>
  </si>
  <si>
    <t xml:space="preserve">Coste por unidad (€)</t>
  </si>
  <si>
    <t xml:space="preserve">Proveedor / notas</t>
  </si>
  <si>
    <t xml:space="preserve">Esmalte semipermanente</t>
  </si>
  <si>
    <t xml:space="preserve">ml</t>
  </si>
  <si>
    <t xml:space="preserve">Ej.</t>
  </si>
  <si>
    <t xml:space="preserve">Base y top coat</t>
  </si>
  <si>
    <t xml:space="preserve">Acetona / removedor</t>
  </si>
  <si>
    <t xml:space="preserve">Lima y pulidor (desechables)</t>
  </si>
  <si>
    <t xml:space="preserve">unidades</t>
  </si>
  <si>
    <t xml:space="preserve">Cera tibia</t>
  </si>
  <si>
    <t xml:space="preserve">g</t>
  </si>
  <si>
    <t xml:space="preserve">Bandas de depilación</t>
  </si>
  <si>
    <t xml:space="preserve">Crema facial profesional</t>
  </si>
  <si>
    <t xml:space="preserve">Mascarilla facial</t>
  </si>
  <si>
    <t xml:space="preserve">Algodón y discos</t>
  </si>
  <si>
    <t xml:space="preserve">3. Tus servicios: coste real y precio</t>
  </si>
  <si>
    <t xml:space="preserve">Las cantidades van en la unidad del producto (ml, g o unidades). Ejemplo: sustitúyelo por tus servicios.</t>
  </si>
  <si>
    <t xml:space="preserve">Servicio</t>
  </si>
  <si>
    <t xml:space="preserve">Duración (min)</t>
  </si>
  <si>
    <t xml:space="preserve">Producto 1</t>
  </si>
  <si>
    <t xml:space="preserve">Cantidad 1</t>
  </si>
  <si>
    <t xml:space="preserve">Producto 2</t>
  </si>
  <si>
    <t xml:space="preserve">Cantidad 2</t>
  </si>
  <si>
    <t xml:space="preserve">Producto 3</t>
  </si>
  <si>
    <t xml:space="preserve">Cantidad 3</t>
  </si>
  <si>
    <t xml:space="preserve">Otros costes por servicio (€)</t>
  </si>
  <si>
    <t xml:space="preserve">Margen que quieres</t>
  </si>
  <si>
    <t xml:space="preserve">IVA</t>
  </si>
  <si>
    <t xml:space="preserve">Coste de producto</t>
  </si>
  <si>
    <t xml:space="preserve">Coste de profesional</t>
  </si>
  <si>
    <t xml:space="preserve">Coste fijo (local y gastos)</t>
  </si>
  <si>
    <t xml:space="preserve">COSTE TOTAL</t>
  </si>
  <si>
    <t xml:space="preserve">PRECIO RECOMENDADO sin IVA</t>
  </si>
  <si>
    <t xml:space="preserve">PRECIO RECOMENDADO con IVA</t>
  </si>
  <si>
    <t xml:space="preserve">Tu precio actual (con IVA)</t>
  </si>
  <si>
    <t xml:space="preserve">Beneficio por servicio</t>
  </si>
  <si>
    <t xml:space="preserve">Margen real</t>
  </si>
  <si>
    <t xml:space="preserve">Diagnóstico</t>
  </si>
  <si>
    <t xml:space="preserve">Manicura semipermanente</t>
  </si>
  <si>
    <t xml:space="preserve">Retirada + manicura semipermanente</t>
  </si>
  <si>
    <t xml:space="preserve">Depilación piernas enteras (cera)</t>
  </si>
  <si>
    <t xml:space="preserve">Limpieza facial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</si>
</sst>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;\-#,##0.00&quot; €&quot;;\-"/>
    <numFmt numFmtId="166" formatCode="#,##0.##"/>
    <numFmt numFmtId="167" formatCode="0.0%;\-0.0%;\-"/>
    <numFmt numFmtId="168" formatCode="#,##0.0000&quot; €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8"/>
      <color rgb="FF7835C3"/>
      <name val="Arial"/>
      <family val="0"/>
      <charset val="1"/>
    </font>
    <font>
      <i val="true"/>
      <sz val="9"/>
      <color rgb="FF6B6B80"/>
      <name val="Arial"/>
      <family val="0"/>
      <charset val="1"/>
    </font>
    <font>
      <b val="true"/>
      <sz val="12"/>
      <color rgb="FF02021E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7835C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835C3"/>
        <bgColor rgb="FF993366"/>
      </patternFill>
    </fill>
    <fill>
      <patternFill patternType="solid">
        <fgColor rgb="FFF3ECFF"/>
        <bgColor rgb="FFEFE7FB"/>
      </patternFill>
    </fill>
    <fill>
      <patternFill patternType="solid">
        <fgColor rgb="FFEFE7FB"/>
        <bgColor rgb="FFF3E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EA"/>
      </left>
      <right style="thin">
        <color rgb="FFD9D2EA"/>
      </right>
      <top style="thin">
        <color rgb="FFD9D2EA"/>
      </top>
      <bottom style="thin">
        <color rgb="FFD9D2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DE2E2"/>
        </patternFill>
      </fill>
    </dxf>
    <dxf>
      <fill>
        <patternFill>
          <bgColor rgb="FFFFF1D6"/>
        </patternFill>
      </fill>
    </dxf>
    <dxf>
      <fill>
        <patternFill>
          <bgColor rgb="FFE3F6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2021E"/>
      <rgbColor rgb="FF808000"/>
      <rgbColor rgb="FF800080"/>
      <rgbColor rgb="FF008080"/>
      <rgbColor rgb="FFC0C0C0"/>
      <rgbColor rgb="FF808080"/>
      <rgbColor rgb="FF9999FF"/>
      <rgbColor rgb="FF7835C3"/>
      <rgbColor rgb="FFFFF1D6"/>
      <rgbColor rgb="FFE3F6E8"/>
      <rgbColor rgb="FF660066"/>
      <rgbColor rgb="FFFF8080"/>
      <rgbColor rgb="FF0066CC"/>
      <rgbColor rgb="FFD9D2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CFF"/>
      <rgbColor rgb="FFEFE7FB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B6B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dolphy.com/?utm_source=calculadora&amp;utm_medium=excel&amp;utm_campaign=calculadora_precios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35C3"/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1" customFormat="false" ht="15" hidden="false" customHeight="false" outlineLevel="0" collapsed="false">
      <c r="A1" s="2"/>
      <c r="B1" s="2"/>
    </row>
    <row r="2" customFormat="false" ht="21.75" hidden="false" customHeight="true" outlineLevel="0" collapsed="false">
      <c r="A2" s="2"/>
      <c r="B2" s="3" t="s">
        <v>0</v>
      </c>
    </row>
    <row r="3" customFormat="false" ht="15" hidden="false" customHeight="true" outlineLevel="0" collapsed="false">
      <c r="A3" s="2"/>
      <c r="B3" s="4" t="s">
        <v>1</v>
      </c>
    </row>
    <row r="4" customFormat="false" ht="15" hidden="false" customHeight="true" outlineLevel="0" collapsed="false">
      <c r="A4" s="2"/>
      <c r="B4" s="5"/>
    </row>
    <row r="5" customFormat="false" ht="15" hidden="false" customHeight="true" outlineLevel="0" collapsed="false">
      <c r="A5" s="2"/>
      <c r="B5" s="6" t="s">
        <v>2</v>
      </c>
    </row>
    <row r="6" customFormat="false" ht="31.5" hidden="false" customHeight="true" outlineLevel="0" collapsed="false">
      <c r="A6" s="2"/>
      <c r="B6" s="7" t="s">
        <v>3</v>
      </c>
    </row>
    <row r="7" customFormat="false" ht="15" hidden="false" customHeight="true" outlineLevel="0" collapsed="false">
      <c r="A7" s="2"/>
      <c r="B7" s="5"/>
    </row>
    <row r="8" customFormat="false" ht="15" hidden="false" customHeight="true" outlineLevel="0" collapsed="false">
      <c r="A8" s="2"/>
      <c r="B8" s="6" t="s">
        <v>4</v>
      </c>
    </row>
    <row r="9" customFormat="false" ht="31.5" hidden="false" customHeight="true" outlineLevel="0" collapsed="false">
      <c r="A9" s="2"/>
      <c r="B9" s="7" t="s">
        <v>5</v>
      </c>
    </row>
    <row r="10" customFormat="false" ht="31.5" hidden="false" customHeight="true" outlineLevel="0" collapsed="false">
      <c r="A10" s="2"/>
      <c r="B10" s="7" t="s">
        <v>6</v>
      </c>
    </row>
    <row r="11" customFormat="false" ht="31.5" hidden="false" customHeight="true" outlineLevel="0" collapsed="false">
      <c r="A11" s="2"/>
      <c r="B11" s="7" t="s">
        <v>7</v>
      </c>
    </row>
    <row r="12" customFormat="false" ht="15" hidden="false" customHeight="true" outlineLevel="0" collapsed="false">
      <c r="A12" s="2"/>
      <c r="B12" s="5"/>
    </row>
    <row r="13" customFormat="false" ht="15" hidden="false" customHeight="true" outlineLevel="0" collapsed="false">
      <c r="A13" s="2"/>
      <c r="B13" s="6" t="s">
        <v>8</v>
      </c>
    </row>
    <row r="14" customFormat="false" ht="31.5" hidden="false" customHeight="true" outlineLevel="0" collapsed="false">
      <c r="A14" s="2"/>
      <c r="B14" s="7" t="s">
        <v>9</v>
      </c>
    </row>
    <row r="15" customFormat="false" ht="31.5" hidden="false" customHeight="true" outlineLevel="0" collapsed="false">
      <c r="A15" s="2"/>
      <c r="B15" s="7" t="s">
        <v>10</v>
      </c>
    </row>
    <row r="16" customFormat="false" ht="15" hidden="false" customHeight="true" outlineLevel="0" collapsed="false">
      <c r="A16" s="2"/>
      <c r="B16" s="5"/>
    </row>
    <row r="17" customFormat="false" ht="15" hidden="false" customHeight="true" outlineLevel="0" collapsed="false">
      <c r="A17" s="2"/>
      <c r="B17" s="6" t="s">
        <v>11</v>
      </c>
    </row>
    <row r="18" customFormat="false" ht="31.5" hidden="false" customHeight="true" outlineLevel="0" collapsed="false">
      <c r="A18" s="2"/>
      <c r="B18" s="7" t="s">
        <v>12</v>
      </c>
    </row>
    <row r="19" customFormat="false" ht="31.5" hidden="false" customHeight="true" outlineLevel="0" collapsed="false">
      <c r="A19" s="2"/>
      <c r="B19" s="7" t="s">
        <v>13</v>
      </c>
    </row>
    <row r="20" customFormat="false" ht="31.5" hidden="false" customHeight="true" outlineLevel="0" collapsed="false">
      <c r="A20" s="2"/>
      <c r="B20" s="7" t="s">
        <v>14</v>
      </c>
    </row>
    <row r="21" customFormat="false" ht="15" hidden="false" customHeight="true" outlineLevel="0" collapsed="false">
      <c r="A21" s="2"/>
      <c r="B21" s="5"/>
    </row>
    <row r="22" customFormat="false" ht="15" hidden="false" customHeight="true" outlineLevel="0" collapsed="false">
      <c r="A22" s="2"/>
      <c r="B22" s="6" t="s">
        <v>15</v>
      </c>
    </row>
    <row r="23" customFormat="false" ht="31.5" hidden="false" customHeight="true" outlineLevel="0" collapsed="false">
      <c r="A23" s="2"/>
      <c r="B23" s="8" t="s">
        <v>16</v>
      </c>
    </row>
  </sheetData>
  <hyperlinks>
    <hyperlink ref="B23" r:id="rId1" display="Godolphy calcula tus números a partir de tus citas y cobros, sin hojas de cálculo: www.godolphy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35C3"/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3" min="3" style="1" width="18"/>
    <col collapsed="false" customWidth="true" hidden="false" outlineLevel="0" max="4" min="4" style="1" width="50"/>
  </cols>
  <sheetData>
    <row r="1" customFormat="false" ht="15" hidden="false" customHeight="false" outlineLevel="0" collapsed="false">
      <c r="A1" s="2"/>
      <c r="B1" s="2"/>
      <c r="C1" s="2"/>
      <c r="D1" s="2"/>
    </row>
    <row r="2" customFormat="false" ht="21.75" hidden="false" customHeight="true" outlineLevel="0" collapsed="false">
      <c r="A2" s="2"/>
      <c r="B2" s="9" t="s">
        <v>17</v>
      </c>
      <c r="C2" s="2"/>
      <c r="D2" s="2"/>
    </row>
    <row r="3" customFormat="false" ht="15" hidden="false" customHeight="true" outlineLevel="0" collapsed="false">
      <c r="A3" s="2"/>
      <c r="B3" s="10" t="s">
        <v>18</v>
      </c>
      <c r="C3" s="2"/>
      <c r="D3" s="2"/>
    </row>
    <row r="4" customFormat="false" ht="15" hidden="false" customHeight="false" outlineLevel="0" collapsed="false">
      <c r="A4" s="2"/>
      <c r="B4" s="2"/>
      <c r="C4" s="2"/>
      <c r="D4" s="2"/>
    </row>
    <row r="5" customFormat="false" ht="33.75" hidden="false" customHeight="true" outlineLevel="0" collapsed="false">
      <c r="A5" s="2"/>
      <c r="B5" s="11" t="s">
        <v>19</v>
      </c>
      <c r="C5" s="11" t="s">
        <v>20</v>
      </c>
      <c r="D5" s="11" t="s">
        <v>21</v>
      </c>
    </row>
    <row r="6" customFormat="false" ht="15" hidden="false" customHeight="true" outlineLevel="0" collapsed="false">
      <c r="A6" s="2"/>
      <c r="B6" s="12" t="s">
        <v>22</v>
      </c>
      <c r="C6" s="13" t="n">
        <v>900</v>
      </c>
      <c r="D6" s="10"/>
    </row>
    <row r="7" customFormat="false" ht="15" hidden="false" customHeight="true" outlineLevel="0" collapsed="false">
      <c r="A7" s="2"/>
      <c r="B7" s="12" t="s">
        <v>23</v>
      </c>
      <c r="C7" s="13" t="n">
        <v>250</v>
      </c>
      <c r="D7" s="10"/>
    </row>
    <row r="8" customFormat="false" ht="15" hidden="false" customHeight="true" outlineLevel="0" collapsed="false">
      <c r="A8" s="2"/>
      <c r="B8" s="12" t="s">
        <v>24</v>
      </c>
      <c r="C8" s="13" t="n">
        <v>80</v>
      </c>
      <c r="D8" s="10" t="s">
        <v>25</v>
      </c>
    </row>
    <row r="9" customFormat="false" ht="15" hidden="false" customHeight="true" outlineLevel="0" collapsed="false">
      <c r="A9" s="2"/>
      <c r="B9" s="12" t="s">
        <v>26</v>
      </c>
      <c r="C9" s="13" t="n">
        <v>25</v>
      </c>
      <c r="D9" s="10" t="s">
        <v>27</v>
      </c>
    </row>
    <row r="10" customFormat="false" ht="15" hidden="false" customHeight="true" outlineLevel="0" collapsed="false">
      <c r="A10" s="2"/>
      <c r="B10" s="12" t="s">
        <v>28</v>
      </c>
      <c r="C10" s="13" t="n">
        <v>90</v>
      </c>
      <c r="D10" s="10"/>
    </row>
    <row r="11" customFormat="false" ht="15" hidden="false" customHeight="true" outlineLevel="0" collapsed="false">
      <c r="A11" s="2"/>
      <c r="B11" s="12" t="s">
        <v>29</v>
      </c>
      <c r="C11" s="13" t="n">
        <v>50</v>
      </c>
      <c r="D11" s="10"/>
    </row>
    <row r="12" customFormat="false" ht="15" hidden="false" customHeight="true" outlineLevel="0" collapsed="false">
      <c r="A12" s="2"/>
      <c r="B12" s="12" t="s">
        <v>30</v>
      </c>
      <c r="C12" s="13" t="n">
        <v>150</v>
      </c>
      <c r="D12" s="10"/>
    </row>
    <row r="13" customFormat="false" ht="15" hidden="false" customHeight="true" outlineLevel="0" collapsed="false">
      <c r="A13" s="2"/>
      <c r="B13" s="12" t="s">
        <v>31</v>
      </c>
      <c r="C13" s="13" t="n">
        <v>100</v>
      </c>
      <c r="D13" s="10" t="s">
        <v>32</v>
      </c>
    </row>
    <row r="14" customFormat="false" ht="15" hidden="false" customHeight="true" outlineLevel="0" collapsed="false">
      <c r="A14" s="2"/>
      <c r="B14" s="12" t="s">
        <v>33</v>
      </c>
      <c r="C14" s="13" t="n">
        <v>50</v>
      </c>
      <c r="D14" s="10"/>
    </row>
    <row r="15" customFormat="false" ht="15" hidden="false" customHeight="true" outlineLevel="0" collapsed="false">
      <c r="A15" s="2"/>
      <c r="B15" s="14"/>
      <c r="C15" s="13"/>
      <c r="D15" s="2"/>
    </row>
    <row r="16" customFormat="false" ht="15" hidden="false" customHeight="true" outlineLevel="0" collapsed="false">
      <c r="A16" s="2"/>
      <c r="B16" s="14"/>
      <c r="C16" s="13"/>
      <c r="D16" s="2"/>
    </row>
    <row r="17" customFormat="false" ht="15" hidden="false" customHeight="true" outlineLevel="0" collapsed="false">
      <c r="A17" s="2"/>
      <c r="B17" s="14"/>
      <c r="C17" s="13"/>
      <c r="D17" s="2"/>
    </row>
    <row r="18" customFormat="false" ht="15" hidden="false" customHeight="true" outlineLevel="0" collapsed="false">
      <c r="A18" s="2"/>
      <c r="B18" s="15" t="s">
        <v>34</v>
      </c>
      <c r="C18" s="16" t="n">
        <f aca="false">SUM(C6:C17)</f>
        <v>1695</v>
      </c>
      <c r="D18" s="2"/>
    </row>
    <row r="19" customFormat="false" ht="15" hidden="false" customHeight="false" outlineLevel="0" collapsed="false">
      <c r="A19" s="2"/>
      <c r="B19" s="2"/>
      <c r="C19" s="2"/>
      <c r="D19" s="2"/>
    </row>
    <row r="20" customFormat="false" ht="15" hidden="false" customHeight="true" outlineLevel="0" collapsed="false">
      <c r="A20" s="2"/>
      <c r="B20" s="17" t="s">
        <v>35</v>
      </c>
      <c r="C20" s="2"/>
      <c r="D20" s="2"/>
    </row>
    <row r="21" customFormat="false" ht="33.75" hidden="false" customHeight="true" outlineLevel="0" collapsed="false">
      <c r="A21" s="2"/>
      <c r="B21" s="11" t="s">
        <v>36</v>
      </c>
      <c r="C21" s="11" t="s">
        <v>37</v>
      </c>
      <c r="D21" s="11" t="s">
        <v>21</v>
      </c>
    </row>
    <row r="22" customFormat="false" ht="15" hidden="false" customHeight="true" outlineLevel="0" collapsed="false">
      <c r="A22" s="2"/>
      <c r="B22" s="12" t="s">
        <v>38</v>
      </c>
      <c r="C22" s="18" t="n">
        <v>22</v>
      </c>
      <c r="D22" s="10"/>
    </row>
    <row r="23" customFormat="false" ht="15" hidden="false" customHeight="true" outlineLevel="0" collapsed="false">
      <c r="A23" s="2"/>
      <c r="B23" s="12" t="s">
        <v>39</v>
      </c>
      <c r="C23" s="18" t="n">
        <v>9</v>
      </c>
      <c r="D23" s="10"/>
    </row>
    <row r="24" customFormat="false" ht="15" hidden="false" customHeight="true" outlineLevel="0" collapsed="false">
      <c r="A24" s="2"/>
      <c r="B24" s="12" t="s">
        <v>40</v>
      </c>
      <c r="C24" s="18" t="n">
        <v>2</v>
      </c>
      <c r="D24" s="10" t="s">
        <v>41</v>
      </c>
    </row>
    <row r="25" customFormat="false" ht="15" hidden="false" customHeight="true" outlineLevel="0" collapsed="false">
      <c r="A25" s="2"/>
      <c r="B25" s="12" t="s">
        <v>42</v>
      </c>
      <c r="C25" s="19" t="n">
        <v>0.65</v>
      </c>
      <c r="D25" s="10" t="s">
        <v>43</v>
      </c>
    </row>
    <row r="26" customFormat="false" ht="15" hidden="false" customHeight="true" outlineLevel="0" collapsed="false">
      <c r="A26" s="2"/>
      <c r="B26" s="12" t="s">
        <v>44</v>
      </c>
      <c r="C26" s="13" t="n">
        <v>15</v>
      </c>
      <c r="D26" s="10" t="s">
        <v>45</v>
      </c>
    </row>
    <row r="27" customFormat="false" ht="15" hidden="false" customHeight="true" outlineLevel="0" collapsed="false">
      <c r="A27" s="2"/>
      <c r="B27" s="12" t="s">
        <v>46</v>
      </c>
      <c r="C27" s="20" t="n">
        <f aca="false">C22*C23*C24*C25</f>
        <v>257.4</v>
      </c>
      <c r="D27" s="10" t="s">
        <v>47</v>
      </c>
    </row>
    <row r="28" customFormat="false" ht="15" hidden="false" customHeight="true" outlineLevel="0" collapsed="false">
      <c r="A28" s="2"/>
      <c r="B28" s="12" t="s">
        <v>48</v>
      </c>
      <c r="C28" s="21" t="n">
        <f aca="false">IF(C27&gt;0,C18/C27,0)</f>
        <v>6.58508158508158</v>
      </c>
      <c r="D28" s="1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35C3"/>
    <pageSetUpPr fitToPage="false"/>
  </sheetPr>
  <dimension ref="A1:G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30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2"/>
      <c r="B2" s="9" t="s">
        <v>50</v>
      </c>
      <c r="C2" s="2"/>
      <c r="D2" s="2"/>
      <c r="E2" s="2"/>
      <c r="F2" s="2"/>
      <c r="G2" s="2"/>
    </row>
    <row r="3" customFormat="false" ht="15" hidden="false" customHeight="true" outlineLevel="0" collapsed="false">
      <c r="A3" s="2"/>
      <c r="B3" s="10" t="s">
        <v>51</v>
      </c>
      <c r="C3" s="2"/>
      <c r="D3" s="2"/>
      <c r="E3" s="2"/>
      <c r="F3" s="2"/>
      <c r="G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33.75" hidden="false" customHeight="true" outlineLevel="0" collapsed="false">
      <c r="A5" s="2"/>
      <c r="B5" s="11" t="s">
        <v>52</v>
      </c>
      <c r="C5" s="11" t="s">
        <v>53</v>
      </c>
      <c r="D5" s="11" t="s">
        <v>54</v>
      </c>
      <c r="E5" s="11" t="s">
        <v>55</v>
      </c>
      <c r="F5" s="11" t="s">
        <v>56</v>
      </c>
      <c r="G5" s="11" t="s">
        <v>57</v>
      </c>
    </row>
    <row r="6" customFormat="false" ht="15" hidden="false" customHeight="true" outlineLevel="0" collapsed="false">
      <c r="A6" s="2"/>
      <c r="B6" s="14" t="s">
        <v>58</v>
      </c>
      <c r="C6" s="14" t="s">
        <v>59</v>
      </c>
      <c r="D6" s="18" t="n">
        <v>15</v>
      </c>
      <c r="E6" s="13" t="n">
        <v>12</v>
      </c>
      <c r="F6" s="22" t="n">
        <f aca="false">IF(AND(ISNUMBER(D6),D6&gt;0,ISNUMBER(E6)),E6/D6,"")</f>
        <v>0.8</v>
      </c>
      <c r="G6" s="23" t="s">
        <v>60</v>
      </c>
    </row>
    <row r="7" customFormat="false" ht="15" hidden="false" customHeight="true" outlineLevel="0" collapsed="false">
      <c r="A7" s="2"/>
      <c r="B7" s="14" t="s">
        <v>61</v>
      </c>
      <c r="C7" s="14" t="s">
        <v>59</v>
      </c>
      <c r="D7" s="18" t="n">
        <v>15</v>
      </c>
      <c r="E7" s="13" t="n">
        <v>10</v>
      </c>
      <c r="F7" s="22" t="n">
        <f aca="false">IF(AND(ISNUMBER(D7),D7&gt;0,ISNUMBER(E7)),E7/D7,"")</f>
        <v>0.666666666666667</v>
      </c>
      <c r="G7" s="23"/>
    </row>
    <row r="8" customFormat="false" ht="15" hidden="false" customHeight="true" outlineLevel="0" collapsed="false">
      <c r="A8" s="2"/>
      <c r="B8" s="14" t="s">
        <v>62</v>
      </c>
      <c r="C8" s="14" t="s">
        <v>59</v>
      </c>
      <c r="D8" s="18" t="n">
        <v>1000</v>
      </c>
      <c r="E8" s="13" t="n">
        <v>9</v>
      </c>
      <c r="F8" s="22" t="n">
        <f aca="false">IF(AND(ISNUMBER(D8),D8&gt;0,ISNUMBER(E8)),E8/D8,"")</f>
        <v>0.009</v>
      </c>
      <c r="G8" s="23"/>
    </row>
    <row r="9" customFormat="false" ht="15" hidden="false" customHeight="true" outlineLevel="0" collapsed="false">
      <c r="A9" s="2"/>
      <c r="B9" s="14" t="s">
        <v>63</v>
      </c>
      <c r="C9" s="14" t="s">
        <v>64</v>
      </c>
      <c r="D9" s="18" t="n">
        <v>50</v>
      </c>
      <c r="E9" s="13" t="n">
        <v>15</v>
      </c>
      <c r="F9" s="22" t="n">
        <f aca="false">IF(AND(ISNUMBER(D9),D9&gt;0,ISNUMBER(E9)),E9/D9,"")</f>
        <v>0.3</v>
      </c>
      <c r="G9" s="23"/>
    </row>
    <row r="10" customFormat="false" ht="15" hidden="false" customHeight="true" outlineLevel="0" collapsed="false">
      <c r="A10" s="2"/>
      <c r="B10" s="14" t="s">
        <v>65</v>
      </c>
      <c r="C10" s="14" t="s">
        <v>66</v>
      </c>
      <c r="D10" s="18" t="n">
        <v>800</v>
      </c>
      <c r="E10" s="13" t="n">
        <v>14</v>
      </c>
      <c r="F10" s="22" t="n">
        <f aca="false">IF(AND(ISNUMBER(D10),D10&gt;0,ISNUMBER(E10)),E10/D10,"")</f>
        <v>0.0175</v>
      </c>
      <c r="G10" s="23"/>
    </row>
    <row r="11" customFormat="false" ht="15" hidden="false" customHeight="true" outlineLevel="0" collapsed="false">
      <c r="A11" s="2"/>
      <c r="B11" s="14" t="s">
        <v>67</v>
      </c>
      <c r="C11" s="14" t="s">
        <v>64</v>
      </c>
      <c r="D11" s="18" t="n">
        <v>100</v>
      </c>
      <c r="E11" s="13" t="n">
        <v>6</v>
      </c>
      <c r="F11" s="22" t="n">
        <f aca="false">IF(AND(ISNUMBER(D11),D11&gt;0,ISNUMBER(E11)),E11/D11,"")</f>
        <v>0.06</v>
      </c>
      <c r="G11" s="23"/>
    </row>
    <row r="12" customFormat="false" ht="15" hidden="false" customHeight="true" outlineLevel="0" collapsed="false">
      <c r="A12" s="2"/>
      <c r="B12" s="14" t="s">
        <v>68</v>
      </c>
      <c r="C12" s="14" t="s">
        <v>59</v>
      </c>
      <c r="D12" s="18" t="n">
        <v>500</v>
      </c>
      <c r="E12" s="13" t="n">
        <v>45</v>
      </c>
      <c r="F12" s="22" t="n">
        <f aca="false">IF(AND(ISNUMBER(D12),D12&gt;0,ISNUMBER(E12)),E12/D12,"")</f>
        <v>0.09</v>
      </c>
      <c r="G12" s="23"/>
    </row>
    <row r="13" customFormat="false" ht="15" hidden="false" customHeight="true" outlineLevel="0" collapsed="false">
      <c r="A13" s="2"/>
      <c r="B13" s="14" t="s">
        <v>69</v>
      </c>
      <c r="C13" s="14" t="s">
        <v>64</v>
      </c>
      <c r="D13" s="18" t="n">
        <v>10</v>
      </c>
      <c r="E13" s="13" t="n">
        <v>25</v>
      </c>
      <c r="F13" s="22" t="n">
        <f aca="false">IF(AND(ISNUMBER(D13),D13&gt;0,ISNUMBER(E13)),E13/D13,"")</f>
        <v>2.5</v>
      </c>
      <c r="G13" s="23"/>
    </row>
    <row r="14" customFormat="false" ht="15" hidden="false" customHeight="true" outlineLevel="0" collapsed="false">
      <c r="A14" s="2"/>
      <c r="B14" s="14" t="s">
        <v>70</v>
      </c>
      <c r="C14" s="14" t="s">
        <v>64</v>
      </c>
      <c r="D14" s="18" t="n">
        <v>200</v>
      </c>
      <c r="E14" s="13" t="n">
        <v>5</v>
      </c>
      <c r="F14" s="22" t="n">
        <f aca="false">IF(AND(ISNUMBER(D14),D14&gt;0,ISNUMBER(E14)),E14/D14,"")</f>
        <v>0.025</v>
      </c>
      <c r="G14" s="23"/>
    </row>
    <row r="15" customFormat="false" ht="15" hidden="false" customHeight="true" outlineLevel="0" collapsed="false">
      <c r="A15" s="2"/>
      <c r="B15" s="14"/>
      <c r="C15" s="14"/>
      <c r="D15" s="18"/>
      <c r="E15" s="13"/>
      <c r="F15" s="22" t="str">
        <f aca="false">IF(AND(ISNUMBER(D15),D15&gt;0,ISNUMBER(E15)),E15/D15,"")</f>
        <v/>
      </c>
      <c r="G15" s="23"/>
    </row>
    <row r="16" customFormat="false" ht="15" hidden="false" customHeight="true" outlineLevel="0" collapsed="false">
      <c r="A16" s="2"/>
      <c r="B16" s="14"/>
      <c r="C16" s="14"/>
      <c r="D16" s="18"/>
      <c r="E16" s="13"/>
      <c r="F16" s="22" t="str">
        <f aca="false">IF(AND(ISNUMBER(D16),D16&gt;0,ISNUMBER(E16)),E16/D16,"")</f>
        <v/>
      </c>
      <c r="G16" s="23"/>
    </row>
    <row r="17" customFormat="false" ht="15" hidden="false" customHeight="true" outlineLevel="0" collapsed="false">
      <c r="A17" s="2"/>
      <c r="B17" s="14"/>
      <c r="C17" s="14"/>
      <c r="D17" s="18"/>
      <c r="E17" s="13"/>
      <c r="F17" s="22" t="str">
        <f aca="false">IF(AND(ISNUMBER(D17),D17&gt;0,ISNUMBER(E17)),E17/D17,"")</f>
        <v/>
      </c>
      <c r="G17" s="23"/>
    </row>
    <row r="18" customFormat="false" ht="15" hidden="false" customHeight="true" outlineLevel="0" collapsed="false">
      <c r="A18" s="2"/>
      <c r="B18" s="14"/>
      <c r="C18" s="14"/>
      <c r="D18" s="18"/>
      <c r="E18" s="13"/>
      <c r="F18" s="22" t="str">
        <f aca="false">IF(AND(ISNUMBER(D18),D18&gt;0,ISNUMBER(E18)),E18/D18,"")</f>
        <v/>
      </c>
      <c r="G18" s="23"/>
    </row>
    <row r="19" customFormat="false" ht="15" hidden="false" customHeight="true" outlineLevel="0" collapsed="false">
      <c r="A19" s="2"/>
      <c r="B19" s="14"/>
      <c r="C19" s="14"/>
      <c r="D19" s="18"/>
      <c r="E19" s="13"/>
      <c r="F19" s="22" t="str">
        <f aca="false">IF(AND(ISNUMBER(D19),D19&gt;0,ISNUMBER(E19)),E19/D19,"")</f>
        <v/>
      </c>
      <c r="G19" s="23"/>
    </row>
    <row r="20" customFormat="false" ht="15" hidden="false" customHeight="true" outlineLevel="0" collapsed="false">
      <c r="A20" s="2"/>
      <c r="B20" s="14"/>
      <c r="C20" s="14"/>
      <c r="D20" s="18"/>
      <c r="E20" s="13"/>
      <c r="F20" s="22" t="str">
        <f aca="false">IF(AND(ISNUMBER(D20),D20&gt;0,ISNUMBER(E20)),E20/D20,"")</f>
        <v/>
      </c>
      <c r="G20" s="23"/>
    </row>
    <row r="21" customFormat="false" ht="15" hidden="false" customHeight="true" outlineLevel="0" collapsed="false">
      <c r="A21" s="2"/>
      <c r="B21" s="14"/>
      <c r="C21" s="14"/>
      <c r="D21" s="18"/>
      <c r="E21" s="13"/>
      <c r="F21" s="22" t="str">
        <f aca="false">IF(AND(ISNUMBER(D21),D21&gt;0,ISNUMBER(E21)),E21/D21,"")</f>
        <v/>
      </c>
      <c r="G21" s="23"/>
    </row>
    <row r="22" customFormat="false" ht="15" hidden="false" customHeight="true" outlineLevel="0" collapsed="false">
      <c r="A22" s="2"/>
      <c r="B22" s="14"/>
      <c r="C22" s="14"/>
      <c r="D22" s="18"/>
      <c r="E22" s="13"/>
      <c r="F22" s="22" t="str">
        <f aca="false">IF(AND(ISNUMBER(D22),D22&gt;0,ISNUMBER(E22)),E22/D22,"")</f>
        <v/>
      </c>
      <c r="G22" s="23"/>
    </row>
    <row r="23" customFormat="false" ht="15" hidden="false" customHeight="true" outlineLevel="0" collapsed="false">
      <c r="A23" s="2"/>
      <c r="B23" s="14"/>
      <c r="C23" s="14"/>
      <c r="D23" s="18"/>
      <c r="E23" s="13"/>
      <c r="F23" s="22" t="str">
        <f aca="false">IF(AND(ISNUMBER(D23),D23&gt;0,ISNUMBER(E23)),E23/D23,"")</f>
        <v/>
      </c>
      <c r="G23" s="23"/>
    </row>
    <row r="24" customFormat="false" ht="15" hidden="false" customHeight="true" outlineLevel="0" collapsed="false">
      <c r="A24" s="2"/>
      <c r="B24" s="14"/>
      <c r="C24" s="14"/>
      <c r="D24" s="18"/>
      <c r="E24" s="13"/>
      <c r="F24" s="22" t="str">
        <f aca="false">IF(AND(ISNUMBER(D24),D24&gt;0,ISNUMBER(E24)),E24/D24,"")</f>
        <v/>
      </c>
      <c r="G24" s="23"/>
    </row>
    <row r="25" customFormat="false" ht="15" hidden="false" customHeight="true" outlineLevel="0" collapsed="false">
      <c r="A25" s="2"/>
      <c r="B25" s="14"/>
      <c r="C25" s="14"/>
      <c r="D25" s="18"/>
      <c r="E25" s="13"/>
      <c r="F25" s="22" t="str">
        <f aca="false">IF(AND(ISNUMBER(D25),D25&gt;0,ISNUMBER(E25)),E25/D25,"")</f>
        <v/>
      </c>
      <c r="G25" s="23"/>
    </row>
    <row r="26" customFormat="false" ht="15" hidden="false" customHeight="true" outlineLevel="0" collapsed="false">
      <c r="A26" s="2"/>
      <c r="B26" s="14"/>
      <c r="C26" s="14"/>
      <c r="D26" s="18"/>
      <c r="E26" s="13"/>
      <c r="F26" s="22" t="str">
        <f aca="false">IF(AND(ISNUMBER(D26),D26&gt;0,ISNUMBER(E26)),E26/D26,"")</f>
        <v/>
      </c>
      <c r="G26" s="23"/>
    </row>
    <row r="27" customFormat="false" ht="15" hidden="false" customHeight="true" outlineLevel="0" collapsed="false">
      <c r="A27" s="2"/>
      <c r="B27" s="14"/>
      <c r="C27" s="14"/>
      <c r="D27" s="18"/>
      <c r="E27" s="13"/>
      <c r="F27" s="22" t="str">
        <f aca="false">IF(AND(ISNUMBER(D27),D27&gt;0,ISNUMBER(E27)),E27/D27,"")</f>
        <v/>
      </c>
      <c r="G27" s="23"/>
    </row>
    <row r="28" customFormat="false" ht="15" hidden="false" customHeight="true" outlineLevel="0" collapsed="false">
      <c r="A28" s="2"/>
      <c r="B28" s="14"/>
      <c r="C28" s="14"/>
      <c r="D28" s="18"/>
      <c r="E28" s="13"/>
      <c r="F28" s="22" t="str">
        <f aca="false">IF(AND(ISNUMBER(D28),D28&gt;0,ISNUMBER(E28)),E28/D28,"")</f>
        <v/>
      </c>
      <c r="G28" s="23"/>
    </row>
    <row r="29" customFormat="false" ht="15" hidden="false" customHeight="true" outlineLevel="0" collapsed="false">
      <c r="A29" s="2"/>
      <c r="B29" s="14"/>
      <c r="C29" s="14"/>
      <c r="D29" s="18"/>
      <c r="E29" s="13"/>
      <c r="F29" s="22" t="str">
        <f aca="false">IF(AND(ISNUMBER(D29),D29&gt;0,ISNUMBER(E29)),E29/D29,"")</f>
        <v/>
      </c>
      <c r="G29" s="23"/>
    </row>
    <row r="30" customFormat="false" ht="15" hidden="false" customHeight="true" outlineLevel="0" collapsed="false">
      <c r="A30" s="2"/>
      <c r="B30" s="14"/>
      <c r="C30" s="14"/>
      <c r="D30" s="18"/>
      <c r="E30" s="13"/>
      <c r="F30" s="22" t="str">
        <f aca="false">IF(AND(ISNUMBER(D30),D30&gt;0,ISNUMBER(E30)),E30/D30,"")</f>
        <v/>
      </c>
      <c r="G30" s="23"/>
    </row>
    <row r="31" customFormat="false" ht="15" hidden="false" customHeight="true" outlineLevel="0" collapsed="false">
      <c r="A31" s="2"/>
      <c r="B31" s="14"/>
      <c r="C31" s="14"/>
      <c r="D31" s="18"/>
      <c r="E31" s="13"/>
      <c r="F31" s="22" t="str">
        <f aca="false">IF(AND(ISNUMBER(D31),D31&gt;0,ISNUMBER(E31)),E31/D31,"")</f>
        <v/>
      </c>
      <c r="G31" s="23"/>
    </row>
    <row r="32" customFormat="false" ht="15" hidden="false" customHeight="true" outlineLevel="0" collapsed="false">
      <c r="A32" s="2"/>
      <c r="B32" s="14"/>
      <c r="C32" s="14"/>
      <c r="D32" s="18"/>
      <c r="E32" s="13"/>
      <c r="F32" s="22" t="str">
        <f aca="false">IF(AND(ISNUMBER(D32),D32&gt;0,ISNUMBER(E32)),E32/D32,"")</f>
        <v/>
      </c>
      <c r="G32" s="23"/>
    </row>
    <row r="33" customFormat="false" ht="15" hidden="false" customHeight="true" outlineLevel="0" collapsed="false">
      <c r="A33" s="2"/>
      <c r="B33" s="14"/>
      <c r="C33" s="14"/>
      <c r="D33" s="18"/>
      <c r="E33" s="13"/>
      <c r="F33" s="22" t="str">
        <f aca="false">IF(AND(ISNUMBER(D33),D33&gt;0,ISNUMBER(E33)),E33/D33,"")</f>
        <v/>
      </c>
      <c r="G33" s="23"/>
    </row>
    <row r="34" customFormat="false" ht="15" hidden="false" customHeight="true" outlineLevel="0" collapsed="false">
      <c r="A34" s="2"/>
      <c r="B34" s="14"/>
      <c r="C34" s="14"/>
      <c r="D34" s="18"/>
      <c r="E34" s="13"/>
      <c r="F34" s="22" t="str">
        <f aca="false">IF(AND(ISNUMBER(D34),D34&gt;0,ISNUMBER(E34)),E34/D34,"")</f>
        <v/>
      </c>
      <c r="G34" s="23"/>
    </row>
    <row r="35" customFormat="false" ht="15" hidden="false" customHeight="true" outlineLevel="0" collapsed="false">
      <c r="A35" s="2"/>
      <c r="B35" s="14"/>
      <c r="C35" s="14"/>
      <c r="D35" s="18"/>
      <c r="E35" s="13"/>
      <c r="F35" s="22" t="str">
        <f aca="false">IF(AND(ISNUMBER(D35),D35&gt;0,ISNUMBER(E35)),E35/D35,"")</f>
        <v/>
      </c>
      <c r="G35" s="23"/>
    </row>
    <row r="36" customFormat="false" ht="15" hidden="false" customHeight="true" outlineLevel="0" collapsed="false">
      <c r="A36" s="2"/>
      <c r="B36" s="14"/>
      <c r="C36" s="14"/>
      <c r="D36" s="18"/>
      <c r="E36" s="13"/>
      <c r="F36" s="22" t="str">
        <f aca="false">IF(AND(ISNUMBER(D36),D36&gt;0,ISNUMBER(E36)),E36/D36,"")</f>
        <v/>
      </c>
      <c r="G36" s="23"/>
    </row>
    <row r="37" customFormat="false" ht="15" hidden="false" customHeight="true" outlineLevel="0" collapsed="false">
      <c r="A37" s="2"/>
      <c r="B37" s="14"/>
      <c r="C37" s="14"/>
      <c r="D37" s="18"/>
      <c r="E37" s="13"/>
      <c r="F37" s="22" t="str">
        <f aca="false">IF(AND(ISNUMBER(D37),D37&gt;0,ISNUMBER(E37)),E37/D37,"")</f>
        <v/>
      </c>
      <c r="G37" s="23"/>
    </row>
    <row r="38" customFormat="false" ht="15" hidden="false" customHeight="true" outlineLevel="0" collapsed="false">
      <c r="A38" s="2"/>
      <c r="B38" s="14"/>
      <c r="C38" s="14"/>
      <c r="D38" s="18"/>
      <c r="E38" s="13"/>
      <c r="F38" s="22" t="str">
        <f aca="false">IF(AND(ISNUMBER(D38),D38&gt;0,ISNUMBER(E38)),E38/D38,"")</f>
        <v/>
      </c>
      <c r="G38" s="23"/>
    </row>
    <row r="39" customFormat="false" ht="15" hidden="false" customHeight="true" outlineLevel="0" collapsed="false">
      <c r="A39" s="2"/>
      <c r="B39" s="14"/>
      <c r="C39" s="14"/>
      <c r="D39" s="18"/>
      <c r="E39" s="13"/>
      <c r="F39" s="22" t="str">
        <f aca="false">IF(AND(ISNUMBER(D39),D39&gt;0,ISNUMBER(E39)),E39/D39,"")</f>
        <v/>
      </c>
      <c r="G39" s="23"/>
    </row>
    <row r="40" customFormat="false" ht="15" hidden="false" customHeight="true" outlineLevel="0" collapsed="false">
      <c r="A40" s="2"/>
      <c r="B40" s="14"/>
      <c r="C40" s="14"/>
      <c r="D40" s="18"/>
      <c r="E40" s="13"/>
      <c r="F40" s="22" t="str">
        <f aca="false">IF(AND(ISNUMBER(D40),D40&gt;0,ISNUMBER(E40)),E40/D40,"")</f>
        <v/>
      </c>
      <c r="G40" s="23"/>
    </row>
    <row r="41" customFormat="false" ht="15" hidden="false" customHeight="true" outlineLevel="0" collapsed="false">
      <c r="A41" s="2"/>
      <c r="B41" s="14"/>
      <c r="C41" s="14"/>
      <c r="D41" s="18"/>
      <c r="E41" s="13"/>
      <c r="F41" s="22" t="str">
        <f aca="false">IF(AND(ISNUMBER(D41),D41&gt;0,ISNUMBER(E41)),E41/D41,"")</f>
        <v/>
      </c>
      <c r="G41" s="23"/>
    </row>
    <row r="42" customFormat="false" ht="15" hidden="false" customHeight="true" outlineLevel="0" collapsed="false">
      <c r="A42" s="2"/>
      <c r="B42" s="14"/>
      <c r="C42" s="14"/>
      <c r="D42" s="18"/>
      <c r="E42" s="13"/>
      <c r="F42" s="22" t="str">
        <f aca="false">IF(AND(ISNUMBER(D42),D42&gt;0,ISNUMBER(E42)),E42/D42,"")</f>
        <v/>
      </c>
      <c r="G42" s="23"/>
    </row>
    <row r="43" customFormat="false" ht="15" hidden="false" customHeight="true" outlineLevel="0" collapsed="false">
      <c r="A43" s="2"/>
      <c r="B43" s="14"/>
      <c r="C43" s="14"/>
      <c r="D43" s="18"/>
      <c r="E43" s="13"/>
      <c r="F43" s="22" t="str">
        <f aca="false">IF(AND(ISNUMBER(D43),D43&gt;0,ISNUMBER(E43)),E43/D43,"")</f>
        <v/>
      </c>
      <c r="G43" s="23"/>
    </row>
    <row r="44" customFormat="false" ht="15" hidden="false" customHeight="true" outlineLevel="0" collapsed="false">
      <c r="A44" s="2"/>
      <c r="B44" s="14"/>
      <c r="C44" s="14"/>
      <c r="D44" s="18"/>
      <c r="E44" s="13"/>
      <c r="F44" s="22" t="str">
        <f aca="false">IF(AND(ISNUMBER(D44),D44&gt;0,ISNUMBER(E44)),E44/D44,"")</f>
        <v/>
      </c>
      <c r="G44" s="23"/>
    </row>
    <row r="45" customFormat="false" ht="15" hidden="false" customHeight="true" outlineLevel="0" collapsed="false">
      <c r="A45" s="2"/>
      <c r="B45" s="14"/>
      <c r="C45" s="14"/>
      <c r="D45" s="18"/>
      <c r="E45" s="13"/>
      <c r="F45" s="22" t="str">
        <f aca="false">IF(AND(ISNUMBER(D45),D45&gt;0,ISNUMBER(E45)),E45/D45,"")</f>
        <v/>
      </c>
      <c r="G45" s="23"/>
    </row>
    <row r="46" customFormat="false" ht="15" hidden="false" customHeight="true" outlineLevel="0" collapsed="false">
      <c r="A46" s="2"/>
      <c r="B46" s="14"/>
      <c r="C46" s="14"/>
      <c r="D46" s="18"/>
      <c r="E46" s="13"/>
      <c r="F46" s="22" t="str">
        <f aca="false">IF(AND(ISNUMBER(D46),D46&gt;0,ISNUMBER(E46)),E46/D46,"")</f>
        <v/>
      </c>
      <c r="G46" s="23"/>
    </row>
    <row r="47" customFormat="false" ht="15" hidden="false" customHeight="true" outlineLevel="0" collapsed="false">
      <c r="A47" s="2"/>
      <c r="B47" s="14"/>
      <c r="C47" s="14"/>
      <c r="D47" s="18"/>
      <c r="E47" s="13"/>
      <c r="F47" s="22" t="str">
        <f aca="false">IF(AND(ISNUMBER(D47),D47&gt;0,ISNUMBER(E47)),E47/D47,"")</f>
        <v/>
      </c>
      <c r="G47" s="23"/>
    </row>
    <row r="48" customFormat="false" ht="15" hidden="false" customHeight="true" outlineLevel="0" collapsed="false">
      <c r="A48" s="2"/>
      <c r="B48" s="14"/>
      <c r="C48" s="14"/>
      <c r="D48" s="18"/>
      <c r="E48" s="13"/>
      <c r="F48" s="22" t="str">
        <f aca="false">IF(AND(ISNUMBER(D48),D48&gt;0,ISNUMBER(E48)),E48/D48,"")</f>
        <v/>
      </c>
      <c r="G48" s="23"/>
    </row>
    <row r="49" customFormat="false" ht="15" hidden="false" customHeight="true" outlineLevel="0" collapsed="false">
      <c r="A49" s="2"/>
      <c r="B49" s="14"/>
      <c r="C49" s="14"/>
      <c r="D49" s="18"/>
      <c r="E49" s="13"/>
      <c r="F49" s="22" t="str">
        <f aca="false">IF(AND(ISNUMBER(D49),D49&gt;0,ISNUMBER(E49)),E49/D49,"")</f>
        <v/>
      </c>
      <c r="G49" s="23"/>
    </row>
    <row r="50" customFormat="false" ht="15" hidden="false" customHeight="true" outlineLevel="0" collapsed="false">
      <c r="A50" s="2"/>
      <c r="B50" s="14"/>
      <c r="C50" s="14"/>
      <c r="D50" s="18"/>
      <c r="E50" s="13"/>
      <c r="F50" s="22" t="str">
        <f aca="false">IF(AND(ISNUMBER(D50),D50&gt;0,ISNUMBER(E50)),E50/D50,"")</f>
        <v/>
      </c>
      <c r="G50" s="23"/>
    </row>
    <row r="51" customFormat="false" ht="15" hidden="false" customHeight="true" outlineLevel="0" collapsed="false">
      <c r="A51" s="2"/>
      <c r="B51" s="14"/>
      <c r="C51" s="14"/>
      <c r="D51" s="18"/>
      <c r="E51" s="13"/>
      <c r="F51" s="22" t="str">
        <f aca="false">IF(AND(ISNUMBER(D51),D51&gt;0,ISNUMBER(E51)),E51/D51,"")</f>
        <v/>
      </c>
      <c r="G51" s="23"/>
    </row>
    <row r="52" customFormat="false" ht="15" hidden="false" customHeight="true" outlineLevel="0" collapsed="false">
      <c r="A52" s="2"/>
      <c r="B52" s="14"/>
      <c r="C52" s="14"/>
      <c r="D52" s="18"/>
      <c r="E52" s="13"/>
      <c r="F52" s="22" t="str">
        <f aca="false">IF(AND(ISNUMBER(D52),D52&gt;0,ISNUMBER(E52)),E52/D52,"")</f>
        <v/>
      </c>
      <c r="G52" s="23"/>
    </row>
    <row r="53" customFormat="false" ht="15" hidden="false" customHeight="true" outlineLevel="0" collapsed="false">
      <c r="A53" s="2"/>
      <c r="B53" s="14"/>
      <c r="C53" s="14"/>
      <c r="D53" s="18"/>
      <c r="E53" s="13"/>
      <c r="F53" s="22" t="str">
        <f aca="false">IF(AND(ISNUMBER(D53),D53&gt;0,ISNUMBER(E53)),E53/D53,"")</f>
        <v/>
      </c>
      <c r="G53" s="23"/>
    </row>
    <row r="54" customFormat="false" ht="15" hidden="false" customHeight="true" outlineLevel="0" collapsed="false">
      <c r="A54" s="2"/>
      <c r="B54" s="14"/>
      <c r="C54" s="14"/>
      <c r="D54" s="18"/>
      <c r="E54" s="13"/>
      <c r="F54" s="22" t="str">
        <f aca="false">IF(AND(ISNUMBER(D54),D54&gt;0,ISNUMBER(E54)),E54/D54,"")</f>
        <v/>
      </c>
      <c r="G54" s="23"/>
    </row>
    <row r="55" customFormat="false" ht="15" hidden="false" customHeight="true" outlineLevel="0" collapsed="false">
      <c r="A55" s="2"/>
      <c r="B55" s="14"/>
      <c r="C55" s="14"/>
      <c r="D55" s="18"/>
      <c r="E55" s="13"/>
      <c r="F55" s="22" t="str">
        <f aca="false">IF(AND(ISNUMBER(D55),D55&gt;0,ISNUMBER(E55)),E55/D55,"")</f>
        <v/>
      </c>
      <c r="G55" s="23"/>
    </row>
    <row r="56" customFormat="false" ht="15" hidden="false" customHeight="true" outlineLevel="0" collapsed="false">
      <c r="A56" s="2"/>
      <c r="B56" s="14"/>
      <c r="C56" s="14"/>
      <c r="D56" s="18"/>
      <c r="E56" s="13"/>
      <c r="F56" s="22" t="str">
        <f aca="false">IF(AND(ISNUMBER(D56),D56&gt;0,ISNUMBER(E56)),E56/D56,"")</f>
        <v/>
      </c>
      <c r="G56" s="23"/>
    </row>
    <row r="57" customFormat="false" ht="15" hidden="false" customHeight="true" outlineLevel="0" collapsed="false">
      <c r="A57" s="2"/>
      <c r="B57" s="14"/>
      <c r="C57" s="14"/>
      <c r="D57" s="18"/>
      <c r="E57" s="13"/>
      <c r="F57" s="22" t="str">
        <f aca="false">IF(AND(ISNUMBER(D57),D57&gt;0,ISNUMBER(E57)),E57/D57,"")</f>
        <v/>
      </c>
      <c r="G57" s="23"/>
    </row>
    <row r="58" customFormat="false" ht="15" hidden="false" customHeight="true" outlineLevel="0" collapsed="false">
      <c r="A58" s="2"/>
      <c r="B58" s="14"/>
      <c r="C58" s="14"/>
      <c r="D58" s="18"/>
      <c r="E58" s="13"/>
      <c r="F58" s="22" t="str">
        <f aca="false">IF(AND(ISNUMBER(D58),D58&gt;0,ISNUMBER(E58)),E58/D58,"")</f>
        <v/>
      </c>
      <c r="G58" s="23"/>
    </row>
    <row r="59" customFormat="false" ht="15" hidden="false" customHeight="true" outlineLevel="0" collapsed="false">
      <c r="A59" s="2"/>
      <c r="B59" s="14"/>
      <c r="C59" s="14"/>
      <c r="D59" s="18"/>
      <c r="E59" s="13"/>
      <c r="F59" s="22" t="str">
        <f aca="false">IF(AND(ISNUMBER(D59),D59&gt;0,ISNUMBER(E59)),E59/D59,"")</f>
        <v/>
      </c>
      <c r="G59" s="23"/>
    </row>
    <row r="60" customFormat="false" ht="15" hidden="false" customHeight="true" outlineLevel="0" collapsed="false">
      <c r="A60" s="2"/>
      <c r="B60" s="14"/>
      <c r="C60" s="14"/>
      <c r="D60" s="18"/>
      <c r="E60" s="13"/>
      <c r="F60" s="22" t="str">
        <f aca="false">IF(AND(ISNUMBER(D60),D60&gt;0,ISNUMBER(E60)),E60/D60,"")</f>
        <v/>
      </c>
      <c r="G60" s="23"/>
    </row>
    <row r="61" customFormat="false" ht="15" hidden="false" customHeight="true" outlineLevel="0" collapsed="false">
      <c r="A61" s="2"/>
      <c r="B61" s="14"/>
      <c r="C61" s="14"/>
      <c r="D61" s="18"/>
      <c r="E61" s="13"/>
      <c r="F61" s="22" t="str">
        <f aca="false">IF(AND(ISNUMBER(D61),D61&gt;0,ISNUMBER(E61)),E61/D61,"")</f>
        <v/>
      </c>
      <c r="G61" s="23"/>
    </row>
    <row r="62" customFormat="false" ht="15" hidden="false" customHeight="true" outlineLevel="0" collapsed="false">
      <c r="A62" s="2"/>
      <c r="B62" s="14"/>
      <c r="C62" s="14"/>
      <c r="D62" s="18"/>
      <c r="E62" s="13"/>
      <c r="F62" s="22" t="str">
        <f aca="false">IF(AND(ISNUMBER(D62),D62&gt;0,ISNUMBER(E62)),E62/D62,"")</f>
        <v/>
      </c>
      <c r="G62" s="23"/>
    </row>
    <row r="63" customFormat="false" ht="15" hidden="false" customHeight="true" outlineLevel="0" collapsed="false">
      <c r="A63" s="2"/>
      <c r="B63" s="14"/>
      <c r="C63" s="14"/>
      <c r="D63" s="18"/>
      <c r="E63" s="13"/>
      <c r="F63" s="22" t="str">
        <f aca="false">IF(AND(ISNUMBER(D63),D63&gt;0,ISNUMBER(E63)),E63/D63,"")</f>
        <v/>
      </c>
      <c r="G63" s="23"/>
    </row>
    <row r="64" customFormat="false" ht="15" hidden="false" customHeight="true" outlineLevel="0" collapsed="false">
      <c r="A64" s="2"/>
      <c r="B64" s="14"/>
      <c r="C64" s="14"/>
      <c r="D64" s="18"/>
      <c r="E64" s="13"/>
      <c r="F64" s="22" t="str">
        <f aca="false">IF(AND(ISNUMBER(D64),D64&gt;0,ISNUMBER(E64)),E64/D64,"")</f>
        <v/>
      </c>
      <c r="G64" s="23"/>
    </row>
    <row r="65" customFormat="false" ht="15" hidden="false" customHeight="true" outlineLevel="0" collapsed="false">
      <c r="A65" s="2"/>
      <c r="B65" s="14"/>
      <c r="C65" s="14"/>
      <c r="D65" s="18"/>
      <c r="E65" s="13"/>
      <c r="F65" s="22" t="str">
        <f aca="false">IF(AND(ISNUMBER(D65),D65&gt;0,ISNUMBER(E65)),E65/D65,"")</f>
        <v/>
      </c>
      <c r="G65" s="23"/>
    </row>
    <row r="66" customFormat="false" ht="15" hidden="false" customHeight="true" outlineLevel="0" collapsed="false">
      <c r="A66" s="2"/>
      <c r="B66" s="14"/>
      <c r="C66" s="14"/>
      <c r="D66" s="18"/>
      <c r="E66" s="13"/>
      <c r="F66" s="22" t="str">
        <f aca="false">IF(AND(ISNUMBER(D66),D66&gt;0,ISNUMBER(E66)),E66/D66,"")</f>
        <v/>
      </c>
      <c r="G66" s="23"/>
    </row>
    <row r="67" customFormat="false" ht="15" hidden="false" customHeight="true" outlineLevel="0" collapsed="false">
      <c r="A67" s="2"/>
      <c r="B67" s="14"/>
      <c r="C67" s="14"/>
      <c r="D67" s="18"/>
      <c r="E67" s="13"/>
      <c r="F67" s="22" t="str">
        <f aca="false">IF(AND(ISNUMBER(D67),D67&gt;0,ISNUMBER(E67)),E67/D67,"")</f>
        <v/>
      </c>
      <c r="G67" s="23"/>
    </row>
    <row r="68" customFormat="false" ht="15" hidden="false" customHeight="true" outlineLevel="0" collapsed="false">
      <c r="A68" s="2"/>
      <c r="B68" s="14"/>
      <c r="C68" s="14"/>
      <c r="D68" s="18"/>
      <c r="E68" s="13"/>
      <c r="F68" s="22" t="str">
        <f aca="false">IF(AND(ISNUMBER(D68),D68&gt;0,ISNUMBER(E68)),E68/D68,"")</f>
        <v/>
      </c>
      <c r="G68" s="23"/>
    </row>
    <row r="69" customFormat="false" ht="15" hidden="false" customHeight="true" outlineLevel="0" collapsed="false">
      <c r="A69" s="2"/>
      <c r="B69" s="14"/>
      <c r="C69" s="14"/>
      <c r="D69" s="18"/>
      <c r="E69" s="13"/>
      <c r="F69" s="22" t="str">
        <f aca="false">IF(AND(ISNUMBER(D69),D69&gt;0,ISNUMBER(E69)),E69/D69,"")</f>
        <v/>
      </c>
      <c r="G69" s="23"/>
    </row>
    <row r="70" customFormat="false" ht="15" hidden="false" customHeight="true" outlineLevel="0" collapsed="false">
      <c r="A70" s="2"/>
      <c r="B70" s="14"/>
      <c r="C70" s="14"/>
      <c r="D70" s="18"/>
      <c r="E70" s="13"/>
      <c r="F70" s="22" t="str">
        <f aca="false">IF(AND(ISNUMBER(D70),D70&gt;0,ISNUMBER(E70)),E70/D70,"")</f>
        <v/>
      </c>
      <c r="G70" s="23"/>
    </row>
    <row r="71" customFormat="false" ht="15" hidden="false" customHeight="true" outlineLevel="0" collapsed="false">
      <c r="A71" s="2"/>
      <c r="B71" s="14"/>
      <c r="C71" s="14"/>
      <c r="D71" s="18"/>
      <c r="E71" s="13"/>
      <c r="F71" s="22" t="str">
        <f aca="false">IF(AND(ISNUMBER(D71),D71&gt;0,ISNUMBER(E71)),E71/D71,"")</f>
        <v/>
      </c>
      <c r="G71" s="23"/>
    </row>
    <row r="72" customFormat="false" ht="15" hidden="false" customHeight="true" outlineLevel="0" collapsed="false">
      <c r="A72" s="2"/>
      <c r="B72" s="14"/>
      <c r="C72" s="14"/>
      <c r="D72" s="18"/>
      <c r="E72" s="13"/>
      <c r="F72" s="22" t="str">
        <f aca="false">IF(AND(ISNUMBER(D72),D72&gt;0,ISNUMBER(E72)),E72/D72,"")</f>
        <v/>
      </c>
      <c r="G72" s="23"/>
    </row>
    <row r="73" customFormat="false" ht="15" hidden="false" customHeight="true" outlineLevel="0" collapsed="false">
      <c r="A73" s="2"/>
      <c r="B73" s="14"/>
      <c r="C73" s="14"/>
      <c r="D73" s="18"/>
      <c r="E73" s="13"/>
      <c r="F73" s="22" t="str">
        <f aca="false">IF(AND(ISNUMBER(D73),D73&gt;0,ISNUMBER(E73)),E73/D73,"")</f>
        <v/>
      </c>
      <c r="G73" s="23"/>
    </row>
    <row r="74" customFormat="false" ht="15" hidden="false" customHeight="true" outlineLevel="0" collapsed="false">
      <c r="A74" s="2"/>
      <c r="B74" s="14"/>
      <c r="C74" s="14"/>
      <c r="D74" s="18"/>
      <c r="E74" s="13"/>
      <c r="F74" s="22" t="str">
        <f aca="false">IF(AND(ISNUMBER(D74),D74&gt;0,ISNUMBER(E74)),E74/D74,"")</f>
        <v/>
      </c>
      <c r="G74" s="23"/>
    </row>
    <row r="75" customFormat="false" ht="15" hidden="false" customHeight="true" outlineLevel="0" collapsed="false">
      <c r="A75" s="2"/>
      <c r="B75" s="14"/>
      <c r="C75" s="14"/>
      <c r="D75" s="18"/>
      <c r="E75" s="13"/>
      <c r="F75" s="22" t="str">
        <f aca="false">IF(AND(ISNUMBER(D75),D75&gt;0,ISNUMBER(E75)),E75/D75,"")</f>
        <v/>
      </c>
      <c r="G75" s="23"/>
    </row>
    <row r="76" customFormat="false" ht="15" hidden="false" customHeight="true" outlineLevel="0" collapsed="false">
      <c r="A76" s="2"/>
      <c r="B76" s="14"/>
      <c r="C76" s="14"/>
      <c r="D76" s="18"/>
      <c r="E76" s="13"/>
      <c r="F76" s="22" t="str">
        <f aca="false">IF(AND(ISNUMBER(D76),D76&gt;0,ISNUMBER(E76)),E76/D76,"")</f>
        <v/>
      </c>
      <c r="G76" s="23"/>
    </row>
    <row r="77" customFormat="false" ht="15" hidden="false" customHeight="true" outlineLevel="0" collapsed="false">
      <c r="A77" s="2"/>
      <c r="B77" s="14"/>
      <c r="C77" s="14"/>
      <c r="D77" s="18"/>
      <c r="E77" s="13"/>
      <c r="F77" s="22" t="str">
        <f aca="false">IF(AND(ISNUMBER(D77),D77&gt;0,ISNUMBER(E77)),E77/D77,"")</f>
        <v/>
      </c>
      <c r="G77" s="23"/>
    </row>
    <row r="78" customFormat="false" ht="15" hidden="false" customHeight="true" outlineLevel="0" collapsed="false">
      <c r="A78" s="2"/>
      <c r="B78" s="14"/>
      <c r="C78" s="14"/>
      <c r="D78" s="18"/>
      <c r="E78" s="13"/>
      <c r="F78" s="22" t="str">
        <f aca="false">IF(AND(ISNUMBER(D78),D78&gt;0,ISNUMBER(E78)),E78/D78,"")</f>
        <v/>
      </c>
      <c r="G78" s="23"/>
    </row>
    <row r="79" customFormat="false" ht="15" hidden="false" customHeight="true" outlineLevel="0" collapsed="false">
      <c r="A79" s="2"/>
      <c r="B79" s="14"/>
      <c r="C79" s="14"/>
      <c r="D79" s="18"/>
      <c r="E79" s="13"/>
      <c r="F79" s="22" t="str">
        <f aca="false">IF(AND(ISNUMBER(D79),D79&gt;0,ISNUMBER(E79)),E79/D79,"")</f>
        <v/>
      </c>
      <c r="G79" s="23"/>
    </row>
    <row r="80" customFormat="false" ht="15" hidden="false" customHeight="true" outlineLevel="0" collapsed="false">
      <c r="A80" s="2"/>
      <c r="B80" s="14"/>
      <c r="C80" s="14"/>
      <c r="D80" s="18"/>
      <c r="E80" s="13"/>
      <c r="F80" s="22" t="str">
        <f aca="false">IF(AND(ISNUMBER(D80),D80&gt;0,ISNUMBER(E80)),E80/D80,"")</f>
        <v/>
      </c>
      <c r="G80" s="23"/>
    </row>
    <row r="81" customFormat="false" ht="15" hidden="false" customHeight="true" outlineLevel="0" collapsed="false">
      <c r="A81" s="2"/>
      <c r="B81" s="14"/>
      <c r="C81" s="14"/>
      <c r="D81" s="18"/>
      <c r="E81" s="13"/>
      <c r="F81" s="22" t="str">
        <f aca="false">IF(AND(ISNUMBER(D81),D81&gt;0,ISNUMBER(E81)),E81/D81,"")</f>
        <v/>
      </c>
      <c r="G81" s="23"/>
    </row>
    <row r="82" customFormat="false" ht="15" hidden="false" customHeight="true" outlineLevel="0" collapsed="false">
      <c r="A82" s="2"/>
      <c r="B82" s="14"/>
      <c r="C82" s="14"/>
      <c r="D82" s="18"/>
      <c r="E82" s="13"/>
      <c r="F82" s="22" t="str">
        <f aca="false">IF(AND(ISNUMBER(D82),D82&gt;0,ISNUMBER(E82)),E82/D82,"")</f>
        <v/>
      </c>
      <c r="G82" s="23"/>
    </row>
    <row r="83" customFormat="false" ht="15" hidden="false" customHeight="true" outlineLevel="0" collapsed="false">
      <c r="A83" s="2"/>
      <c r="B83" s="14"/>
      <c r="C83" s="14"/>
      <c r="D83" s="18"/>
      <c r="E83" s="13"/>
      <c r="F83" s="22" t="str">
        <f aca="false">IF(AND(ISNUMBER(D83),D83&gt;0,ISNUMBER(E83)),E83/D83,"")</f>
        <v/>
      </c>
      <c r="G83" s="23"/>
    </row>
    <row r="84" customFormat="false" ht="15" hidden="false" customHeight="true" outlineLevel="0" collapsed="false">
      <c r="A84" s="2"/>
      <c r="B84" s="14"/>
      <c r="C84" s="14"/>
      <c r="D84" s="18"/>
      <c r="E84" s="13"/>
      <c r="F84" s="22" t="str">
        <f aca="false">IF(AND(ISNUMBER(D84),D84&gt;0,ISNUMBER(E84)),E84/D84,"")</f>
        <v/>
      </c>
      <c r="G84" s="23"/>
    </row>
    <row r="85" customFormat="false" ht="15" hidden="false" customHeight="true" outlineLevel="0" collapsed="false">
      <c r="A85" s="2"/>
      <c r="B85" s="14"/>
      <c r="C85" s="14"/>
      <c r="D85" s="18"/>
      <c r="E85" s="13"/>
      <c r="F85" s="22" t="str">
        <f aca="false">IF(AND(ISNUMBER(D85),D85&gt;0,ISNUMBER(E85)),E85/D85,"")</f>
        <v/>
      </c>
      <c r="G85" s="23"/>
    </row>
    <row r="86" customFormat="false" ht="15" hidden="false" customHeight="true" outlineLevel="0" collapsed="false">
      <c r="A86" s="2"/>
      <c r="B86" s="14"/>
      <c r="C86" s="14"/>
      <c r="D86" s="18"/>
      <c r="E86" s="13"/>
      <c r="F86" s="22" t="str">
        <f aca="false">IF(AND(ISNUMBER(D86),D86&gt;0,ISNUMBER(E86)),E86/D86,"")</f>
        <v/>
      </c>
      <c r="G86" s="23"/>
    </row>
    <row r="87" customFormat="false" ht="15" hidden="false" customHeight="true" outlineLevel="0" collapsed="false">
      <c r="A87" s="2"/>
      <c r="B87" s="14"/>
      <c r="C87" s="14"/>
      <c r="D87" s="18"/>
      <c r="E87" s="13"/>
      <c r="F87" s="22" t="str">
        <f aca="false">IF(AND(ISNUMBER(D87),D87&gt;0,ISNUMBER(E87)),E87/D87,"")</f>
        <v/>
      </c>
      <c r="G87" s="23"/>
    </row>
    <row r="88" customFormat="false" ht="15" hidden="false" customHeight="true" outlineLevel="0" collapsed="false">
      <c r="A88" s="2"/>
      <c r="B88" s="14"/>
      <c r="C88" s="14"/>
      <c r="D88" s="18"/>
      <c r="E88" s="13"/>
      <c r="F88" s="22" t="str">
        <f aca="false">IF(AND(ISNUMBER(D88),D88&gt;0,ISNUMBER(E88)),E88/D88,"")</f>
        <v/>
      </c>
      <c r="G88" s="23"/>
    </row>
    <row r="89" customFormat="false" ht="15" hidden="false" customHeight="true" outlineLevel="0" collapsed="false">
      <c r="A89" s="2"/>
      <c r="B89" s="14"/>
      <c r="C89" s="14"/>
      <c r="D89" s="18"/>
      <c r="E89" s="13"/>
      <c r="F89" s="22" t="str">
        <f aca="false">IF(AND(ISNUMBER(D89),D89&gt;0,ISNUMBER(E89)),E89/D89,"")</f>
        <v/>
      </c>
      <c r="G89" s="23"/>
    </row>
    <row r="90" customFormat="false" ht="15" hidden="false" customHeight="true" outlineLevel="0" collapsed="false">
      <c r="A90" s="2"/>
      <c r="B90" s="14"/>
      <c r="C90" s="14"/>
      <c r="D90" s="18"/>
      <c r="E90" s="13"/>
      <c r="F90" s="22" t="str">
        <f aca="false">IF(AND(ISNUMBER(D90),D90&gt;0,ISNUMBER(E90)),E90/D90,"")</f>
        <v/>
      </c>
      <c r="G90" s="23"/>
    </row>
    <row r="91" customFormat="false" ht="15" hidden="false" customHeight="true" outlineLevel="0" collapsed="false">
      <c r="A91" s="2"/>
      <c r="B91" s="14"/>
      <c r="C91" s="14"/>
      <c r="D91" s="18"/>
      <c r="E91" s="13"/>
      <c r="F91" s="22" t="str">
        <f aca="false">IF(AND(ISNUMBER(D91),D91&gt;0,ISNUMBER(E91)),E91/D91,"")</f>
        <v/>
      </c>
      <c r="G91" s="23"/>
    </row>
    <row r="92" customFormat="false" ht="15" hidden="false" customHeight="true" outlineLevel="0" collapsed="false">
      <c r="A92" s="2"/>
      <c r="B92" s="14"/>
      <c r="C92" s="14"/>
      <c r="D92" s="18"/>
      <c r="E92" s="13"/>
      <c r="F92" s="22" t="str">
        <f aca="false">IF(AND(ISNUMBER(D92),D92&gt;0,ISNUMBER(E92)),E92/D92,"")</f>
        <v/>
      </c>
      <c r="G92" s="23"/>
    </row>
    <row r="93" customFormat="false" ht="15" hidden="false" customHeight="true" outlineLevel="0" collapsed="false">
      <c r="A93" s="2"/>
      <c r="B93" s="14"/>
      <c r="C93" s="14"/>
      <c r="D93" s="18"/>
      <c r="E93" s="13"/>
      <c r="F93" s="22" t="str">
        <f aca="false">IF(AND(ISNUMBER(D93),D93&gt;0,ISNUMBER(E93)),E93/D93,"")</f>
        <v/>
      </c>
      <c r="G93" s="23"/>
    </row>
    <row r="94" customFormat="false" ht="15" hidden="false" customHeight="true" outlineLevel="0" collapsed="false">
      <c r="A94" s="2"/>
      <c r="B94" s="14"/>
      <c r="C94" s="14"/>
      <c r="D94" s="18"/>
      <c r="E94" s="13"/>
      <c r="F94" s="22" t="str">
        <f aca="false">IF(AND(ISNUMBER(D94),D94&gt;0,ISNUMBER(E94)),E94/D94,"")</f>
        <v/>
      </c>
      <c r="G94" s="23"/>
    </row>
    <row r="95" customFormat="false" ht="15" hidden="false" customHeight="true" outlineLevel="0" collapsed="false">
      <c r="A95" s="2"/>
      <c r="B95" s="14"/>
      <c r="C95" s="14"/>
      <c r="D95" s="18"/>
      <c r="E95" s="13"/>
      <c r="F95" s="22" t="str">
        <f aca="false">IF(AND(ISNUMBER(D95),D95&gt;0,ISNUMBER(E95)),E95/D95,"")</f>
        <v/>
      </c>
      <c r="G95" s="23"/>
    </row>
    <row r="96" customFormat="false" ht="15" hidden="false" customHeight="true" outlineLevel="0" collapsed="false">
      <c r="A96" s="2"/>
      <c r="B96" s="14"/>
      <c r="C96" s="14"/>
      <c r="D96" s="18"/>
      <c r="E96" s="13"/>
      <c r="F96" s="22" t="str">
        <f aca="false">IF(AND(ISNUMBER(D96),D96&gt;0,ISNUMBER(E96)),E96/D96,"")</f>
        <v/>
      </c>
      <c r="G96" s="23"/>
    </row>
    <row r="97" customFormat="false" ht="15" hidden="false" customHeight="true" outlineLevel="0" collapsed="false">
      <c r="A97" s="2"/>
      <c r="B97" s="14"/>
      <c r="C97" s="14"/>
      <c r="D97" s="18"/>
      <c r="E97" s="13"/>
      <c r="F97" s="22" t="str">
        <f aca="false">IF(AND(ISNUMBER(D97),D97&gt;0,ISNUMBER(E97)),E97/D97,"")</f>
        <v/>
      </c>
      <c r="G97" s="23"/>
    </row>
    <row r="98" customFormat="false" ht="15" hidden="false" customHeight="true" outlineLevel="0" collapsed="false">
      <c r="A98" s="2"/>
      <c r="B98" s="14"/>
      <c r="C98" s="14"/>
      <c r="D98" s="18"/>
      <c r="E98" s="13"/>
      <c r="F98" s="22" t="str">
        <f aca="false">IF(AND(ISNUMBER(D98),D98&gt;0,ISNUMBER(E98)),E98/D98,"")</f>
        <v/>
      </c>
      <c r="G98" s="23"/>
    </row>
    <row r="99" customFormat="false" ht="15" hidden="false" customHeight="true" outlineLevel="0" collapsed="false">
      <c r="A99" s="2"/>
      <c r="B99" s="14"/>
      <c r="C99" s="14"/>
      <c r="D99" s="18"/>
      <c r="E99" s="13"/>
      <c r="F99" s="22" t="str">
        <f aca="false">IF(AND(ISNUMBER(D99),D99&gt;0,ISNUMBER(E99)),E99/D99,"")</f>
        <v/>
      </c>
      <c r="G99" s="23"/>
    </row>
    <row r="100" customFormat="false" ht="15" hidden="false" customHeight="true" outlineLevel="0" collapsed="false">
      <c r="A100" s="2"/>
      <c r="B100" s="14"/>
      <c r="C100" s="14"/>
      <c r="D100" s="18"/>
      <c r="E100" s="13"/>
      <c r="F100" s="22" t="str">
        <f aca="false">IF(AND(ISNUMBER(D100),D100&gt;0,ISNUMBER(E100)),E100/D100,"")</f>
        <v/>
      </c>
      <c r="G100" s="23"/>
    </row>
    <row r="101" customFormat="false" ht="15" hidden="false" customHeight="true" outlineLevel="0" collapsed="false">
      <c r="A101" s="2"/>
      <c r="B101" s="14"/>
      <c r="C101" s="14"/>
      <c r="D101" s="18"/>
      <c r="E101" s="13"/>
      <c r="F101" s="22" t="str">
        <f aca="false">IF(AND(ISNUMBER(D101),D101&gt;0,ISNUMBER(E101)),E101/D101,"")</f>
        <v/>
      </c>
      <c r="G101" s="23"/>
    </row>
    <row r="102" customFormat="false" ht="15" hidden="false" customHeight="true" outlineLevel="0" collapsed="false">
      <c r="A102" s="2"/>
      <c r="B102" s="14"/>
      <c r="C102" s="14"/>
      <c r="D102" s="18"/>
      <c r="E102" s="13"/>
      <c r="F102" s="22" t="str">
        <f aca="false">IF(AND(ISNUMBER(D102),D102&gt;0,ISNUMBER(E102)),E102/D102,"")</f>
        <v/>
      </c>
      <c r="G102" s="23"/>
    </row>
    <row r="103" customFormat="false" ht="15" hidden="false" customHeight="true" outlineLevel="0" collapsed="false">
      <c r="A103" s="2"/>
      <c r="B103" s="14"/>
      <c r="C103" s="14"/>
      <c r="D103" s="18"/>
      <c r="E103" s="13"/>
      <c r="F103" s="22" t="str">
        <f aca="false">IF(AND(ISNUMBER(D103),D103&gt;0,ISNUMBER(E103)),E103/D103,"")</f>
        <v/>
      </c>
      <c r="G103" s="23"/>
    </row>
    <row r="104" customFormat="false" ht="15" hidden="false" customHeight="true" outlineLevel="0" collapsed="false">
      <c r="A104" s="2"/>
      <c r="B104" s="14"/>
      <c r="C104" s="14"/>
      <c r="D104" s="18"/>
      <c r="E104" s="13"/>
      <c r="F104" s="22" t="str">
        <f aca="false">IF(AND(ISNUMBER(D104),D104&gt;0,ISNUMBER(E104)),E104/D104,"")</f>
        <v/>
      </c>
      <c r="G104" s="23"/>
    </row>
    <row r="105" customFormat="false" ht="15" hidden="false" customHeight="true" outlineLevel="0" collapsed="false">
      <c r="A105" s="2"/>
      <c r="B105" s="14"/>
      <c r="C105" s="14"/>
      <c r="D105" s="18"/>
      <c r="E105" s="13"/>
      <c r="F105" s="22" t="str">
        <f aca="false">IF(AND(ISNUMBER(D105),D105&gt;0,ISNUMBER(E105)),E105/D105,"")</f>
        <v/>
      </c>
      <c r="G105" s="23"/>
    </row>
    <row r="106" customFormat="false" ht="15" hidden="false" customHeight="true" outlineLevel="0" collapsed="false">
      <c r="A106" s="2"/>
      <c r="B106" s="14"/>
      <c r="C106" s="14"/>
      <c r="D106" s="18"/>
      <c r="E106" s="13"/>
      <c r="F106" s="22" t="str">
        <f aca="false">IF(AND(ISNUMBER(D106),D106&gt;0,ISNUMBER(E106)),E106/D106,"")</f>
        <v/>
      </c>
      <c r="G106" s="23"/>
    </row>
    <row r="107" customFormat="false" ht="15" hidden="false" customHeight="true" outlineLevel="0" collapsed="false">
      <c r="A107" s="2"/>
      <c r="B107" s="14"/>
      <c r="C107" s="14"/>
      <c r="D107" s="18"/>
      <c r="E107" s="13"/>
      <c r="F107" s="22" t="str">
        <f aca="false">IF(AND(ISNUMBER(D107),D107&gt;0,ISNUMBER(E107)),E107/D107,"")</f>
        <v/>
      </c>
      <c r="G107" s="23"/>
    </row>
    <row r="108" customFormat="false" ht="15" hidden="false" customHeight="true" outlineLevel="0" collapsed="false">
      <c r="A108" s="2"/>
      <c r="B108" s="14"/>
      <c r="C108" s="14"/>
      <c r="D108" s="18"/>
      <c r="E108" s="13"/>
      <c r="F108" s="22" t="str">
        <f aca="false">IF(AND(ISNUMBER(D108),D108&gt;0,ISNUMBER(E108)),E108/D108,"")</f>
        <v/>
      </c>
      <c r="G108" s="23"/>
    </row>
    <row r="109" customFormat="false" ht="15" hidden="false" customHeight="true" outlineLevel="0" collapsed="false">
      <c r="A109" s="2"/>
      <c r="B109" s="14"/>
      <c r="C109" s="14"/>
      <c r="D109" s="18"/>
      <c r="E109" s="13"/>
      <c r="F109" s="22" t="str">
        <f aca="false">IF(AND(ISNUMBER(D109),D109&gt;0,ISNUMBER(E109)),E109/D109,"")</f>
        <v/>
      </c>
      <c r="G109" s="23"/>
    </row>
    <row r="110" customFormat="false" ht="15" hidden="false" customHeight="true" outlineLevel="0" collapsed="false">
      <c r="A110" s="2"/>
      <c r="B110" s="14"/>
      <c r="C110" s="14"/>
      <c r="D110" s="18"/>
      <c r="E110" s="13"/>
      <c r="F110" s="22" t="str">
        <f aca="false">IF(AND(ISNUMBER(D110),D110&gt;0,ISNUMBER(E110)),E110/D110,"")</f>
        <v/>
      </c>
      <c r="G110" s="23"/>
    </row>
    <row r="111" customFormat="false" ht="15" hidden="false" customHeight="true" outlineLevel="0" collapsed="false">
      <c r="A111" s="2"/>
      <c r="B111" s="14"/>
      <c r="C111" s="14"/>
      <c r="D111" s="18"/>
      <c r="E111" s="13"/>
      <c r="F111" s="22" t="str">
        <f aca="false">IF(AND(ISNUMBER(D111),D111&gt;0,ISNUMBER(E111)),E111/D111,"")</f>
        <v/>
      </c>
      <c r="G111" s="23"/>
    </row>
    <row r="112" customFormat="false" ht="15" hidden="false" customHeight="true" outlineLevel="0" collapsed="false">
      <c r="A112" s="2"/>
      <c r="B112" s="14"/>
      <c r="C112" s="14"/>
      <c r="D112" s="18"/>
      <c r="E112" s="13"/>
      <c r="F112" s="22" t="str">
        <f aca="false">IF(AND(ISNUMBER(D112),D112&gt;0,ISNUMBER(E112)),E112/D112,"")</f>
        <v/>
      </c>
      <c r="G112" s="23"/>
    </row>
    <row r="113" customFormat="false" ht="15" hidden="false" customHeight="true" outlineLevel="0" collapsed="false">
      <c r="A113" s="2"/>
      <c r="B113" s="14"/>
      <c r="C113" s="14"/>
      <c r="D113" s="18"/>
      <c r="E113" s="13"/>
      <c r="F113" s="22" t="str">
        <f aca="false">IF(AND(ISNUMBER(D113),D113&gt;0,ISNUMBER(E113)),E113/D113,"")</f>
        <v/>
      </c>
      <c r="G113" s="23"/>
    </row>
    <row r="114" customFormat="false" ht="15" hidden="false" customHeight="true" outlineLevel="0" collapsed="false">
      <c r="A114" s="2"/>
      <c r="B114" s="14"/>
      <c r="C114" s="14"/>
      <c r="D114" s="18"/>
      <c r="E114" s="13"/>
      <c r="F114" s="22" t="str">
        <f aca="false">IF(AND(ISNUMBER(D114),D114&gt;0,ISNUMBER(E114)),E114/D114,"")</f>
        <v/>
      </c>
      <c r="G114" s="23"/>
    </row>
    <row r="115" customFormat="false" ht="15" hidden="false" customHeight="true" outlineLevel="0" collapsed="false">
      <c r="A115" s="2"/>
      <c r="B115" s="14"/>
      <c r="C115" s="14"/>
      <c r="D115" s="18"/>
      <c r="E115" s="13"/>
      <c r="F115" s="22" t="str">
        <f aca="false">IF(AND(ISNUMBER(D115),D115&gt;0,ISNUMBER(E115)),E115/D115,"")</f>
        <v/>
      </c>
      <c r="G115" s="23"/>
    </row>
    <row r="116" customFormat="false" ht="15" hidden="false" customHeight="true" outlineLevel="0" collapsed="false">
      <c r="A116" s="2"/>
      <c r="B116" s="14"/>
      <c r="C116" s="14"/>
      <c r="D116" s="18"/>
      <c r="E116" s="13"/>
      <c r="F116" s="22" t="str">
        <f aca="false">IF(AND(ISNUMBER(D116),D116&gt;0,ISNUMBER(E116)),E116/D116,"")</f>
        <v/>
      </c>
      <c r="G116" s="23"/>
    </row>
    <row r="117" customFormat="false" ht="15" hidden="false" customHeight="true" outlineLevel="0" collapsed="false">
      <c r="A117" s="2"/>
      <c r="B117" s="14"/>
      <c r="C117" s="14"/>
      <c r="D117" s="18"/>
      <c r="E117" s="13"/>
      <c r="F117" s="22" t="str">
        <f aca="false">IF(AND(ISNUMBER(D117),D117&gt;0,ISNUMBER(E117)),E117/D117,"")</f>
        <v/>
      </c>
      <c r="G117" s="23"/>
    </row>
    <row r="118" customFormat="false" ht="15" hidden="false" customHeight="true" outlineLevel="0" collapsed="false">
      <c r="A118" s="2"/>
      <c r="B118" s="14"/>
      <c r="C118" s="14"/>
      <c r="D118" s="18"/>
      <c r="E118" s="13"/>
      <c r="F118" s="22" t="str">
        <f aca="false">IF(AND(ISNUMBER(D118),D118&gt;0,ISNUMBER(E118)),E118/D118,"")</f>
        <v/>
      </c>
      <c r="G118" s="23"/>
    </row>
    <row r="119" customFormat="false" ht="15" hidden="false" customHeight="true" outlineLevel="0" collapsed="false">
      <c r="A119" s="2"/>
      <c r="B119" s="14"/>
      <c r="C119" s="14"/>
      <c r="D119" s="18"/>
      <c r="E119" s="13"/>
      <c r="F119" s="22" t="str">
        <f aca="false">IF(AND(ISNUMBER(D119),D119&gt;0,ISNUMBER(E119)),E119/D119,"")</f>
        <v/>
      </c>
      <c r="G119" s="23"/>
    </row>
    <row r="120" customFormat="false" ht="15" hidden="false" customHeight="true" outlineLevel="0" collapsed="false">
      <c r="A120" s="2"/>
      <c r="B120" s="14"/>
      <c r="C120" s="14"/>
      <c r="D120" s="18"/>
      <c r="E120" s="13"/>
      <c r="F120" s="22" t="str">
        <f aca="false">IF(AND(ISNUMBER(D120),D120&gt;0,ISNUMBER(E120)),E120/D120,"")</f>
        <v/>
      </c>
      <c r="G120" s="23"/>
    </row>
    <row r="121" customFormat="false" ht="15" hidden="false" customHeight="true" outlineLevel="0" collapsed="false">
      <c r="A121" s="2"/>
      <c r="B121" s="14"/>
      <c r="C121" s="14"/>
      <c r="D121" s="18"/>
      <c r="E121" s="13"/>
      <c r="F121" s="22" t="str">
        <f aca="false">IF(AND(ISNUMBER(D121),D121&gt;0,ISNUMBER(E121)),E121/D121,"")</f>
        <v/>
      </c>
      <c r="G121" s="23"/>
    </row>
    <row r="122" customFormat="false" ht="15" hidden="false" customHeight="true" outlineLevel="0" collapsed="false">
      <c r="A122" s="2"/>
      <c r="B122" s="14"/>
      <c r="C122" s="14"/>
      <c r="D122" s="18"/>
      <c r="E122" s="13"/>
      <c r="F122" s="22" t="str">
        <f aca="false">IF(AND(ISNUMBER(D122),D122&gt;0,ISNUMBER(E122)),E122/D122,"")</f>
        <v/>
      </c>
      <c r="G122" s="23"/>
    </row>
    <row r="123" customFormat="false" ht="15" hidden="false" customHeight="true" outlineLevel="0" collapsed="false">
      <c r="A123" s="2"/>
      <c r="B123" s="14"/>
      <c r="C123" s="14"/>
      <c r="D123" s="18"/>
      <c r="E123" s="13"/>
      <c r="F123" s="22" t="str">
        <f aca="false">IF(AND(ISNUMBER(D123),D123&gt;0,ISNUMBER(E123)),E123/D123,"")</f>
        <v/>
      </c>
      <c r="G123" s="23"/>
    </row>
    <row r="124" customFormat="false" ht="15" hidden="false" customHeight="true" outlineLevel="0" collapsed="false">
      <c r="A124" s="2"/>
      <c r="B124" s="14"/>
      <c r="C124" s="14"/>
      <c r="D124" s="18"/>
      <c r="E124" s="13"/>
      <c r="F124" s="22" t="str">
        <f aca="false">IF(AND(ISNUMBER(D124),D124&gt;0,ISNUMBER(E124)),E124/D124,"")</f>
        <v/>
      </c>
      <c r="G124" s="23"/>
    </row>
    <row r="125" customFormat="false" ht="15" hidden="false" customHeight="true" outlineLevel="0" collapsed="false">
      <c r="A125" s="2"/>
      <c r="B125" s="14"/>
      <c r="C125" s="14"/>
      <c r="D125" s="18"/>
      <c r="E125" s="13"/>
      <c r="F125" s="22" t="str">
        <f aca="false">IF(AND(ISNUMBER(D125),D125&gt;0,ISNUMBER(E125)),E125/D125,"")</f>
        <v/>
      </c>
      <c r="G125" s="23"/>
    </row>
    <row r="126" customFormat="false" ht="15" hidden="false" customHeight="true" outlineLevel="0" collapsed="false">
      <c r="A126" s="2"/>
      <c r="B126" s="14"/>
      <c r="C126" s="14"/>
      <c r="D126" s="18"/>
      <c r="E126" s="13"/>
      <c r="F126" s="22" t="str">
        <f aca="false">IF(AND(ISNUMBER(D126),D126&gt;0,ISNUMBER(E126)),E126/D126,"")</f>
        <v/>
      </c>
      <c r="G126" s="23"/>
    </row>
    <row r="127" customFormat="false" ht="15" hidden="false" customHeight="true" outlineLevel="0" collapsed="false">
      <c r="A127" s="2"/>
      <c r="B127" s="14"/>
      <c r="C127" s="14"/>
      <c r="D127" s="18"/>
      <c r="E127" s="13"/>
      <c r="F127" s="22" t="str">
        <f aca="false">IF(AND(ISNUMBER(D127),D127&gt;0,ISNUMBER(E127)),E127/D127,"")</f>
        <v/>
      </c>
      <c r="G127" s="23"/>
    </row>
    <row r="128" customFormat="false" ht="15" hidden="false" customHeight="true" outlineLevel="0" collapsed="false">
      <c r="A128" s="2"/>
      <c r="B128" s="14"/>
      <c r="C128" s="14"/>
      <c r="D128" s="18"/>
      <c r="E128" s="13"/>
      <c r="F128" s="22" t="str">
        <f aca="false">IF(AND(ISNUMBER(D128),D128&gt;0,ISNUMBER(E128)),E128/D128,"")</f>
        <v/>
      </c>
      <c r="G128" s="23"/>
    </row>
    <row r="129" customFormat="false" ht="15" hidden="false" customHeight="true" outlineLevel="0" collapsed="false">
      <c r="A129" s="2"/>
      <c r="B129" s="14"/>
      <c r="C129" s="14"/>
      <c r="D129" s="18"/>
      <c r="E129" s="13"/>
      <c r="F129" s="22" t="str">
        <f aca="false">IF(AND(ISNUMBER(D129),D129&gt;0,ISNUMBER(E129)),E129/D129,"")</f>
        <v/>
      </c>
      <c r="G129" s="23"/>
    </row>
    <row r="130" customFormat="false" ht="15" hidden="false" customHeight="true" outlineLevel="0" collapsed="false">
      <c r="A130" s="2"/>
      <c r="B130" s="14"/>
      <c r="C130" s="14"/>
      <c r="D130" s="18"/>
      <c r="E130" s="13"/>
      <c r="F130" s="22" t="str">
        <f aca="false">IF(AND(ISNUMBER(D130),D130&gt;0,ISNUMBER(E130)),E130/D130,"")</f>
        <v/>
      </c>
      <c r="G130" s="23"/>
    </row>
    <row r="131" customFormat="false" ht="15" hidden="false" customHeight="true" outlineLevel="0" collapsed="false">
      <c r="A131" s="2"/>
      <c r="B131" s="14"/>
      <c r="C131" s="14"/>
      <c r="D131" s="18"/>
      <c r="E131" s="13"/>
      <c r="F131" s="22" t="str">
        <f aca="false">IF(AND(ISNUMBER(D131),D131&gt;0,ISNUMBER(E131)),E131/D131,"")</f>
        <v/>
      </c>
      <c r="G131" s="23"/>
    </row>
    <row r="132" customFormat="false" ht="15" hidden="false" customHeight="true" outlineLevel="0" collapsed="false">
      <c r="A132" s="2"/>
      <c r="B132" s="14"/>
      <c r="C132" s="14"/>
      <c r="D132" s="18"/>
      <c r="E132" s="13"/>
      <c r="F132" s="22" t="str">
        <f aca="false">IF(AND(ISNUMBER(D132),D132&gt;0,ISNUMBER(E132)),E132/D132,"")</f>
        <v/>
      </c>
      <c r="G132" s="23"/>
    </row>
    <row r="133" customFormat="false" ht="15" hidden="false" customHeight="true" outlineLevel="0" collapsed="false">
      <c r="A133" s="2"/>
      <c r="B133" s="14"/>
      <c r="C133" s="14"/>
      <c r="D133" s="18"/>
      <c r="E133" s="13"/>
      <c r="F133" s="22" t="str">
        <f aca="false">IF(AND(ISNUMBER(D133),D133&gt;0,ISNUMBER(E133)),E133/D133,"")</f>
        <v/>
      </c>
      <c r="G133" s="23"/>
    </row>
    <row r="134" customFormat="false" ht="15" hidden="false" customHeight="true" outlineLevel="0" collapsed="false">
      <c r="A134" s="2"/>
      <c r="B134" s="14"/>
      <c r="C134" s="14"/>
      <c r="D134" s="18"/>
      <c r="E134" s="13"/>
      <c r="F134" s="22" t="str">
        <f aca="false">IF(AND(ISNUMBER(D134),D134&gt;0,ISNUMBER(E134)),E134/D134,"")</f>
        <v/>
      </c>
      <c r="G134" s="23"/>
    </row>
    <row r="135" customFormat="false" ht="15" hidden="false" customHeight="true" outlineLevel="0" collapsed="false">
      <c r="A135" s="2"/>
      <c r="B135" s="14"/>
      <c r="C135" s="14"/>
      <c r="D135" s="18"/>
      <c r="E135" s="13"/>
      <c r="F135" s="22" t="str">
        <f aca="false">IF(AND(ISNUMBER(D135),D135&gt;0,ISNUMBER(E135)),E135/D135,"")</f>
        <v/>
      </c>
      <c r="G135" s="23"/>
    </row>
    <row r="136" customFormat="false" ht="15" hidden="false" customHeight="true" outlineLevel="0" collapsed="false">
      <c r="A136" s="2"/>
      <c r="B136" s="14"/>
      <c r="C136" s="14"/>
      <c r="D136" s="18"/>
      <c r="E136" s="13"/>
      <c r="F136" s="22" t="str">
        <f aca="false">IF(AND(ISNUMBER(D136),D136&gt;0,ISNUMBER(E136)),E136/D136,"")</f>
        <v/>
      </c>
      <c r="G136" s="23"/>
    </row>
    <row r="137" customFormat="false" ht="15" hidden="false" customHeight="true" outlineLevel="0" collapsed="false">
      <c r="A137" s="2"/>
      <c r="B137" s="14"/>
      <c r="C137" s="14"/>
      <c r="D137" s="18"/>
      <c r="E137" s="13"/>
      <c r="F137" s="22" t="str">
        <f aca="false">IF(AND(ISNUMBER(D137),D137&gt;0,ISNUMBER(E137)),E137/D137,"")</f>
        <v/>
      </c>
      <c r="G137" s="23"/>
    </row>
    <row r="138" customFormat="false" ht="15" hidden="false" customHeight="true" outlineLevel="0" collapsed="false">
      <c r="A138" s="2"/>
      <c r="B138" s="14"/>
      <c r="C138" s="14"/>
      <c r="D138" s="18"/>
      <c r="E138" s="13"/>
      <c r="F138" s="22" t="str">
        <f aca="false">IF(AND(ISNUMBER(D138),D138&gt;0,ISNUMBER(E138)),E138/D138,"")</f>
        <v/>
      </c>
      <c r="G138" s="23"/>
    </row>
    <row r="139" customFormat="false" ht="15" hidden="false" customHeight="true" outlineLevel="0" collapsed="false">
      <c r="A139" s="2"/>
      <c r="B139" s="14"/>
      <c r="C139" s="14"/>
      <c r="D139" s="18"/>
      <c r="E139" s="13"/>
      <c r="F139" s="22" t="str">
        <f aca="false">IF(AND(ISNUMBER(D139),D139&gt;0,ISNUMBER(E139)),E139/D139,"")</f>
        <v/>
      </c>
      <c r="G139" s="23"/>
    </row>
    <row r="140" customFormat="false" ht="15" hidden="false" customHeight="true" outlineLevel="0" collapsed="false">
      <c r="A140" s="2"/>
      <c r="B140" s="14"/>
      <c r="C140" s="14"/>
      <c r="D140" s="18"/>
      <c r="E140" s="13"/>
      <c r="F140" s="22" t="str">
        <f aca="false">IF(AND(ISNUMBER(D140),D140&gt;0,ISNUMBER(E140)),E140/D140,"")</f>
        <v/>
      </c>
      <c r="G140" s="23"/>
    </row>
    <row r="141" customFormat="false" ht="15" hidden="false" customHeight="true" outlineLevel="0" collapsed="false">
      <c r="A141" s="2"/>
      <c r="B141" s="14"/>
      <c r="C141" s="14"/>
      <c r="D141" s="18"/>
      <c r="E141" s="13"/>
      <c r="F141" s="22" t="str">
        <f aca="false">IF(AND(ISNUMBER(D141),D141&gt;0,ISNUMBER(E141)),E141/D141,"")</f>
        <v/>
      </c>
      <c r="G141" s="23"/>
    </row>
    <row r="142" customFormat="false" ht="15" hidden="false" customHeight="true" outlineLevel="0" collapsed="false">
      <c r="A142" s="2"/>
      <c r="B142" s="14"/>
      <c r="C142" s="14"/>
      <c r="D142" s="18"/>
      <c r="E142" s="13"/>
      <c r="F142" s="22" t="str">
        <f aca="false">IF(AND(ISNUMBER(D142),D142&gt;0,ISNUMBER(E142)),E142/D142,"")</f>
        <v/>
      </c>
      <c r="G142" s="23"/>
    </row>
    <row r="143" customFormat="false" ht="15" hidden="false" customHeight="true" outlineLevel="0" collapsed="false">
      <c r="A143" s="2"/>
      <c r="B143" s="14"/>
      <c r="C143" s="14"/>
      <c r="D143" s="18"/>
      <c r="E143" s="13"/>
      <c r="F143" s="22" t="str">
        <f aca="false">IF(AND(ISNUMBER(D143),D143&gt;0,ISNUMBER(E143)),E143/D143,"")</f>
        <v/>
      </c>
      <c r="G143" s="23"/>
    </row>
    <row r="144" customFormat="false" ht="15" hidden="false" customHeight="true" outlineLevel="0" collapsed="false">
      <c r="A144" s="2"/>
      <c r="B144" s="14"/>
      <c r="C144" s="14"/>
      <c r="D144" s="18"/>
      <c r="E144" s="13"/>
      <c r="F144" s="22" t="str">
        <f aca="false">IF(AND(ISNUMBER(D144),D144&gt;0,ISNUMBER(E144)),E144/D144,"")</f>
        <v/>
      </c>
      <c r="G144" s="23"/>
    </row>
    <row r="145" customFormat="false" ht="15" hidden="false" customHeight="true" outlineLevel="0" collapsed="false">
      <c r="A145" s="2"/>
      <c r="B145" s="14"/>
      <c r="C145" s="14"/>
      <c r="D145" s="18"/>
      <c r="E145" s="13"/>
      <c r="F145" s="22" t="str">
        <f aca="false">IF(AND(ISNUMBER(D145),D145&gt;0,ISNUMBER(E145)),E145/D145,"")</f>
        <v/>
      </c>
      <c r="G145" s="23"/>
    </row>
    <row r="146" customFormat="false" ht="15" hidden="false" customHeight="true" outlineLevel="0" collapsed="false">
      <c r="A146" s="2"/>
      <c r="B146" s="14"/>
      <c r="C146" s="14"/>
      <c r="D146" s="18"/>
      <c r="E146" s="13"/>
      <c r="F146" s="22" t="str">
        <f aca="false">IF(AND(ISNUMBER(D146),D146&gt;0,ISNUMBER(E146)),E146/D146,"")</f>
        <v/>
      </c>
      <c r="G146" s="23"/>
    </row>
    <row r="147" customFormat="false" ht="15" hidden="false" customHeight="true" outlineLevel="0" collapsed="false">
      <c r="A147" s="2"/>
      <c r="B147" s="14"/>
      <c r="C147" s="14"/>
      <c r="D147" s="18"/>
      <c r="E147" s="13"/>
      <c r="F147" s="22" t="str">
        <f aca="false">IF(AND(ISNUMBER(D147),D147&gt;0,ISNUMBER(E147)),E147/D147,"")</f>
        <v/>
      </c>
      <c r="G147" s="23"/>
    </row>
    <row r="148" customFormat="false" ht="15" hidden="false" customHeight="true" outlineLevel="0" collapsed="false">
      <c r="A148" s="2"/>
      <c r="B148" s="14"/>
      <c r="C148" s="14"/>
      <c r="D148" s="18"/>
      <c r="E148" s="13"/>
      <c r="F148" s="22" t="str">
        <f aca="false">IF(AND(ISNUMBER(D148),D148&gt;0,ISNUMBER(E148)),E148/D148,"")</f>
        <v/>
      </c>
      <c r="G148" s="23"/>
    </row>
    <row r="149" customFormat="false" ht="15" hidden="false" customHeight="true" outlineLevel="0" collapsed="false">
      <c r="A149" s="2"/>
      <c r="B149" s="14"/>
      <c r="C149" s="14"/>
      <c r="D149" s="18"/>
      <c r="E149" s="13"/>
      <c r="F149" s="22" t="str">
        <f aca="false">IF(AND(ISNUMBER(D149),D149&gt;0,ISNUMBER(E149)),E149/D149,"")</f>
        <v/>
      </c>
      <c r="G149" s="23"/>
    </row>
    <row r="150" customFormat="false" ht="15" hidden="false" customHeight="true" outlineLevel="0" collapsed="false">
      <c r="A150" s="2"/>
      <c r="B150" s="14"/>
      <c r="C150" s="14"/>
      <c r="D150" s="18"/>
      <c r="E150" s="13"/>
      <c r="F150" s="22" t="str">
        <f aca="false">IF(AND(ISNUMBER(D150),D150&gt;0,ISNUMBER(E150)),E150/D150,"")</f>
        <v/>
      </c>
      <c r="G150" s="23"/>
    </row>
    <row r="151" customFormat="false" ht="15" hidden="false" customHeight="true" outlineLevel="0" collapsed="false">
      <c r="A151" s="2"/>
      <c r="B151" s="14"/>
      <c r="C151" s="14"/>
      <c r="D151" s="18"/>
      <c r="E151" s="13"/>
      <c r="F151" s="22" t="str">
        <f aca="false">IF(AND(ISNUMBER(D151),D151&gt;0,ISNUMBER(E151)),E151/D151,"")</f>
        <v/>
      </c>
      <c r="G151" s="23"/>
    </row>
    <row r="152" customFormat="false" ht="15" hidden="false" customHeight="true" outlineLevel="0" collapsed="false">
      <c r="A152" s="2"/>
      <c r="B152" s="14"/>
      <c r="C152" s="14"/>
      <c r="D152" s="18"/>
      <c r="E152" s="13"/>
      <c r="F152" s="22" t="str">
        <f aca="false">IF(AND(ISNUMBER(D152),D152&gt;0,ISNUMBER(E152)),E152/D152,"")</f>
        <v/>
      </c>
      <c r="G152" s="23"/>
    </row>
    <row r="153" customFormat="false" ht="15" hidden="false" customHeight="true" outlineLevel="0" collapsed="false">
      <c r="A153" s="2"/>
      <c r="B153" s="14"/>
      <c r="C153" s="14"/>
      <c r="D153" s="18"/>
      <c r="E153" s="13"/>
      <c r="F153" s="22" t="str">
        <f aca="false">IF(AND(ISNUMBER(D153),D153&gt;0,ISNUMBER(E153)),E153/D153,"")</f>
        <v/>
      </c>
      <c r="G153" s="23"/>
    </row>
    <row r="154" customFormat="false" ht="15" hidden="false" customHeight="true" outlineLevel="0" collapsed="false">
      <c r="A154" s="2"/>
      <c r="B154" s="14"/>
      <c r="C154" s="14"/>
      <c r="D154" s="18"/>
      <c r="E154" s="13"/>
      <c r="F154" s="22" t="str">
        <f aca="false">IF(AND(ISNUMBER(D154),D154&gt;0,ISNUMBER(E154)),E154/D154,"")</f>
        <v/>
      </c>
      <c r="G154" s="23"/>
    </row>
    <row r="155" customFormat="false" ht="15" hidden="false" customHeight="true" outlineLevel="0" collapsed="false">
      <c r="A155" s="2"/>
      <c r="B155" s="14"/>
      <c r="C155" s="14"/>
      <c r="D155" s="18"/>
      <c r="E155" s="13"/>
      <c r="F155" s="22" t="str">
        <f aca="false">IF(AND(ISNUMBER(D155),D155&gt;0,ISNUMBER(E155)),E155/D155,"")</f>
        <v/>
      </c>
      <c r="G155" s="23"/>
    </row>
  </sheetData>
  <dataValidations count="1">
    <dataValidation allowBlank="true" errorStyle="stop" operator="between" showDropDown="false" showErrorMessage="false" showInputMessage="false" sqref="C6:C155" type="list">
      <formula1>"ml,g,unidades"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35C3"/>
    <pageSetUpPr fitToPage="false"/>
  </sheetPr>
  <dimension ref="A1:V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1"/>
    <col collapsed="false" customWidth="true" hidden="false" outlineLevel="0" max="4" min="4" style="1" width="26"/>
    <col collapsed="false" customWidth="true" hidden="false" outlineLevel="0" max="5" min="5" style="1" width="10"/>
    <col collapsed="false" customWidth="true" hidden="false" outlineLevel="0" max="6" min="6" style="1" width="26"/>
    <col collapsed="false" customWidth="true" hidden="false" outlineLevel="0" max="7" min="7" style="1" width="10"/>
    <col collapsed="false" customWidth="true" hidden="false" outlineLevel="0" max="8" min="8" style="1" width="26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11"/>
    <col collapsed="false" customWidth="true" hidden="false" outlineLevel="0" max="12" min="12" style="1" width="8"/>
    <col collapsed="false" customWidth="true" hidden="false" outlineLevel="0" max="14" min="13" style="1" width="13"/>
    <col collapsed="false" customWidth="true" hidden="false" outlineLevel="0" max="15" min="15" style="1" width="15"/>
    <col collapsed="false" customWidth="true" hidden="false" outlineLevel="0" max="16" min="16" style="1" width="13"/>
    <col collapsed="false" customWidth="true" hidden="false" outlineLevel="0" max="19" min="17" style="1" width="15"/>
    <col collapsed="false" customWidth="true" hidden="false" outlineLevel="0" max="20" min="20" style="1" width="14"/>
    <col collapsed="false" customWidth="true" hidden="false" outlineLevel="0" max="21" min="21" style="1" width="11"/>
    <col collapsed="false" customWidth="true" hidden="false" outlineLevel="0" max="22" min="22" style="1" width="22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21.75" hidden="false" customHeight="true" outlineLevel="0" collapsed="false">
      <c r="A2" s="2"/>
      <c r="B2" s="9" t="s">
        <v>71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true" outlineLevel="0" collapsed="false">
      <c r="A3" s="2"/>
      <c r="B3" s="10" t="s">
        <v>72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customFormat="false" ht="48" hidden="false" customHeight="true" outlineLevel="0" collapsed="false">
      <c r="A5" s="2"/>
      <c r="B5" s="11" t="s">
        <v>73</v>
      </c>
      <c r="C5" s="11" t="s">
        <v>74</v>
      </c>
      <c r="D5" s="11" t="s">
        <v>75</v>
      </c>
      <c r="E5" s="11" t="s">
        <v>76</v>
      </c>
      <c r="F5" s="11" t="s">
        <v>77</v>
      </c>
      <c r="G5" s="11" t="s">
        <v>78</v>
      </c>
      <c r="H5" s="11" t="s">
        <v>79</v>
      </c>
      <c r="I5" s="11" t="s">
        <v>80</v>
      </c>
      <c r="J5" s="11" t="s">
        <v>81</v>
      </c>
      <c r="K5" s="11" t="s">
        <v>82</v>
      </c>
      <c r="L5" s="11" t="s">
        <v>83</v>
      </c>
      <c r="M5" s="11" t="s">
        <v>84</v>
      </c>
      <c r="N5" s="11" t="s">
        <v>85</v>
      </c>
      <c r="O5" s="11" t="s">
        <v>86</v>
      </c>
      <c r="P5" s="11" t="s">
        <v>87</v>
      </c>
      <c r="Q5" s="11" t="s">
        <v>88</v>
      </c>
      <c r="R5" s="11" t="s">
        <v>89</v>
      </c>
      <c r="S5" s="11" t="s">
        <v>90</v>
      </c>
      <c r="T5" s="11" t="s">
        <v>91</v>
      </c>
      <c r="U5" s="11" t="s">
        <v>92</v>
      </c>
      <c r="V5" s="11" t="s">
        <v>93</v>
      </c>
    </row>
    <row r="6" customFormat="false" ht="15" hidden="false" customHeight="true" outlineLevel="0" collapsed="false">
      <c r="A6" s="2"/>
      <c r="B6" s="14" t="s">
        <v>94</v>
      </c>
      <c r="C6" s="18" t="n">
        <v>60</v>
      </c>
      <c r="D6" s="14" t="s">
        <v>58</v>
      </c>
      <c r="E6" s="18" t="n">
        <v>0.5</v>
      </c>
      <c r="F6" s="14" t="s">
        <v>61</v>
      </c>
      <c r="G6" s="18" t="n">
        <v>0.6</v>
      </c>
      <c r="H6" s="14" t="s">
        <v>63</v>
      </c>
      <c r="I6" s="18" t="n">
        <v>1</v>
      </c>
      <c r="J6" s="13" t="n">
        <v>0.5</v>
      </c>
      <c r="K6" s="19" t="n">
        <v>0.35</v>
      </c>
      <c r="L6" s="19" t="n">
        <v>0.21</v>
      </c>
      <c r="M6" s="24" t="n">
        <f aca="false">IF(B6="","",IF(OR(D6="",E6=""),0,IFERROR(INDEX('2. Productos'!$F$6:$F$155,MATCH(D6,'2. Productos'!$B$6:$B$155,0))*E6,0))+IF(OR(F6="",G6=""),0,IFERROR(INDEX('2. Productos'!$F$6:$F$155,MATCH(F6,'2. Productos'!$B$6:$B$155,0))*G6,0))+IF(OR(H6="",I6=""),0,IFERROR(INDEX('2. Productos'!$F$6:$F$155,MATCH(H6,'2. Productos'!$B$6:$B$155,0))*I6,0)))</f>
        <v>1.1</v>
      </c>
      <c r="N6" s="24" t="n">
        <f aca="false">IF(B6="","",N(C6)/60*'1. Costes fijos'!C26)</f>
        <v>15</v>
      </c>
      <c r="O6" s="24" t="n">
        <f aca="false">IF(B6="","",N(C6)/60*'1. Costes fijos'!C28)</f>
        <v>6.58508158508158</v>
      </c>
      <c r="P6" s="16" t="n">
        <f aca="false">IF(B6="","",M6+N6+O6+N(J6))</f>
        <v>23.1850815850816</v>
      </c>
      <c r="Q6" s="16" t="n">
        <f aca="false">IF(B6="","",IF(N(K6)&gt;=1,"Margen &lt; 100%",P6/(1-N(K6))))</f>
        <v>35.6693562847409</v>
      </c>
      <c r="R6" s="16" t="n">
        <f aca="false">IF(OR(B6="",NOT(ISNUMBER(Q6))),"",Q6*(1+N(L6)))</f>
        <v>43.1599211045365</v>
      </c>
      <c r="S6" s="13" t="n">
        <v>20</v>
      </c>
      <c r="T6" s="24" t="n">
        <f aca="false">IF(OR(B6="",NOT(ISNUMBER(S6))),"",S6/(1+N(L6))-P6)</f>
        <v>-6.65615596524687</v>
      </c>
      <c r="U6" s="25" t="n">
        <f aca="false">IF(OR(B6="",NOT(ISNUMBER(S6)),N(S6)=0),"",T6/(S6/(1+N(L6))))</f>
        <v>-0.402697435897436</v>
      </c>
      <c r="V6" s="26" t="str">
        <f aca="false">IF(U6="","",IF(T6&lt;0,"Pierdes dinero",IF(U6&lt;N(K6),"Por debajo de tu margen","Bien")))</f>
        <v>Pierdes dinero</v>
      </c>
    </row>
    <row r="7" customFormat="false" ht="15" hidden="false" customHeight="true" outlineLevel="0" collapsed="false">
      <c r="A7" s="2"/>
      <c r="B7" s="14" t="s">
        <v>95</v>
      </c>
      <c r="C7" s="18" t="n">
        <v>75</v>
      </c>
      <c r="D7" s="14" t="s">
        <v>58</v>
      </c>
      <c r="E7" s="18" t="n">
        <v>0.5</v>
      </c>
      <c r="F7" s="14" t="s">
        <v>62</v>
      </c>
      <c r="G7" s="18" t="n">
        <v>20</v>
      </c>
      <c r="H7" s="14" t="s">
        <v>63</v>
      </c>
      <c r="I7" s="18" t="n">
        <v>1</v>
      </c>
      <c r="J7" s="13" t="n">
        <v>0.5</v>
      </c>
      <c r="K7" s="19" t="n">
        <v>0.35</v>
      </c>
      <c r="L7" s="19" t="n">
        <v>0.21</v>
      </c>
      <c r="M7" s="24" t="n">
        <f aca="false">IF(B7="","",IF(OR(D7="",E7=""),0,IFERROR(INDEX('2. Productos'!$F$6:$F$155,MATCH(D7,'2. Productos'!$B$6:$B$155,0))*E7,0))+IF(OR(F7="",G7=""),0,IFERROR(INDEX('2. Productos'!$F$6:$F$155,MATCH(F7,'2. Productos'!$B$6:$B$155,0))*G7,0))+IF(OR(H7="",I7=""),0,IFERROR(INDEX('2. Productos'!$F$6:$F$155,MATCH(H7,'2. Productos'!$B$6:$B$155,0))*I7,0)))</f>
        <v>0.88</v>
      </c>
      <c r="N7" s="24" t="n">
        <f aca="false">IF(B7="","",N(C7)/60*'1. Costes fijos'!C26)</f>
        <v>18.75</v>
      </c>
      <c r="O7" s="24" t="n">
        <f aca="false">IF(B7="","",N(C7)/60*'1. Costes fijos'!C28)</f>
        <v>8.23135198135198</v>
      </c>
      <c r="P7" s="16" t="n">
        <f aca="false">IF(B7="","",M7+N7+O7+N(J7))</f>
        <v>28.361351981352</v>
      </c>
      <c r="Q7" s="16" t="n">
        <f aca="false">IF(B7="","",IF(N(K7)&gt;=1,"Margen &lt; 100%",P7/(1-N(K7))))</f>
        <v>43.63284920208</v>
      </c>
      <c r="R7" s="16" t="n">
        <f aca="false">IF(OR(B7="",NOT(ISNUMBER(Q7))),"",Q7*(1+N(L7)))</f>
        <v>52.7957475345168</v>
      </c>
      <c r="S7" s="13" t="n">
        <v>25</v>
      </c>
      <c r="T7" s="24" t="n">
        <f aca="false">IF(OR(B7="",NOT(ISNUMBER(S7))),"",S7/(1+N(L7))-P7)</f>
        <v>-7.70019495655859</v>
      </c>
      <c r="U7" s="25" t="n">
        <f aca="false">IF(OR(B7="",NOT(ISNUMBER(S7)),N(S7)=0),"",T7/(S7/(1+N(L7))))</f>
        <v>-0.372689435897436</v>
      </c>
      <c r="V7" s="26" t="str">
        <f aca="false">IF(U7="","",IF(T7&lt;0,"Pierdes dinero",IF(U7&lt;N(K7),"Por debajo de tu margen","Bien")))</f>
        <v>Pierdes dinero</v>
      </c>
    </row>
    <row r="8" customFormat="false" ht="15" hidden="false" customHeight="true" outlineLevel="0" collapsed="false">
      <c r="A8" s="2"/>
      <c r="B8" s="14" t="s">
        <v>96</v>
      </c>
      <c r="C8" s="18" t="n">
        <v>40</v>
      </c>
      <c r="D8" s="14" t="s">
        <v>65</v>
      </c>
      <c r="E8" s="18" t="n">
        <v>60</v>
      </c>
      <c r="F8" s="14" t="s">
        <v>67</v>
      </c>
      <c r="G8" s="18" t="n">
        <v>10</v>
      </c>
      <c r="H8" s="14"/>
      <c r="I8" s="18"/>
      <c r="J8" s="13" t="n">
        <v>0.3</v>
      </c>
      <c r="K8" s="19" t="n">
        <v>0.35</v>
      </c>
      <c r="L8" s="19" t="n">
        <v>0.21</v>
      </c>
      <c r="M8" s="24" t="n">
        <f aca="false">IF(B8="","",IF(OR(D8="",E8=""),0,IFERROR(INDEX('2. Productos'!$F$6:$F$155,MATCH(D8,'2. Productos'!$B$6:$B$155,0))*E8,0))+IF(OR(F8="",G8=""),0,IFERROR(INDEX('2. Productos'!$F$6:$F$155,MATCH(F8,'2. Productos'!$B$6:$B$155,0))*G8,0))+IF(OR(H8="",I8=""),0,IFERROR(INDEX('2. Productos'!$F$6:$F$155,MATCH(H8,'2. Productos'!$B$6:$B$155,0))*I8,0)))</f>
        <v>1.65</v>
      </c>
      <c r="N8" s="24" t="n">
        <f aca="false">IF(B8="","",N(C8)/60*'1. Costes fijos'!C26)</f>
        <v>10</v>
      </c>
      <c r="O8" s="24" t="n">
        <f aca="false">IF(B8="","",N(C8)/60*'1. Costes fijos'!C28)</f>
        <v>4.39005439005439</v>
      </c>
      <c r="P8" s="16" t="n">
        <f aca="false">IF(B8="","",M8+N8+O8+N(J8))</f>
        <v>16.3400543900544</v>
      </c>
      <c r="Q8" s="16" t="n">
        <f aca="false">IF(B8="","",IF(N(K8)&gt;=1,"Margen &lt; 100%",P8/(1-N(K8))))</f>
        <v>25.1385452154683</v>
      </c>
      <c r="R8" s="16" t="n">
        <f aca="false">IF(OR(B8="",NOT(ISNUMBER(Q8))),"",Q8*(1+N(L8)))</f>
        <v>30.4176397107166</v>
      </c>
      <c r="S8" s="13" t="n">
        <v>25</v>
      </c>
      <c r="T8" s="24" t="n">
        <f aca="false">IF(OR(B8="",NOT(ISNUMBER(S8))),"",S8/(1+N(L8))-P8)</f>
        <v>4.321102634739</v>
      </c>
      <c r="U8" s="25" t="n">
        <f aca="false">IF(OR(B8="",NOT(ISNUMBER(S8)),N(S8)=0),"",T8/(S8/(1+N(L8))))</f>
        <v>0.209141367521368</v>
      </c>
      <c r="V8" s="26" t="str">
        <f aca="false">IF(U8="","",IF(T8&lt;0,"Pierdes dinero",IF(U8&lt;N(K8),"Por debajo de tu margen","Bien")))</f>
        <v>Por debajo de tu margen</v>
      </c>
    </row>
    <row r="9" customFormat="false" ht="15" hidden="false" customHeight="true" outlineLevel="0" collapsed="false">
      <c r="A9" s="2"/>
      <c r="B9" s="14" t="s">
        <v>97</v>
      </c>
      <c r="C9" s="18" t="n">
        <v>60</v>
      </c>
      <c r="D9" s="14" t="s">
        <v>68</v>
      </c>
      <c r="E9" s="18" t="n">
        <v>8</v>
      </c>
      <c r="F9" s="14" t="s">
        <v>69</v>
      </c>
      <c r="G9" s="18" t="n">
        <v>1</v>
      </c>
      <c r="H9" s="14" t="s">
        <v>70</v>
      </c>
      <c r="I9" s="18" t="n">
        <v>6</v>
      </c>
      <c r="J9" s="13" t="n">
        <v>1</v>
      </c>
      <c r="K9" s="19" t="n">
        <v>0.35</v>
      </c>
      <c r="L9" s="19" t="n">
        <v>0.21</v>
      </c>
      <c r="M9" s="24" t="n">
        <f aca="false">IF(B9="","",IF(OR(D9="",E9=""),0,IFERROR(INDEX('2. Productos'!$F$6:$F$155,MATCH(D9,'2. Productos'!$B$6:$B$155,0))*E9,0))+IF(OR(F9="",G9=""),0,IFERROR(INDEX('2. Productos'!$F$6:$F$155,MATCH(F9,'2. Productos'!$B$6:$B$155,0))*G9,0))+IF(OR(H9="",I9=""),0,IFERROR(INDEX('2. Productos'!$F$6:$F$155,MATCH(H9,'2. Productos'!$B$6:$B$155,0))*I9,0)))</f>
        <v>3.37</v>
      </c>
      <c r="N9" s="24" t="n">
        <f aca="false">IF(B9="","",N(C9)/60*'1. Costes fijos'!C26)</f>
        <v>15</v>
      </c>
      <c r="O9" s="24" t="n">
        <f aca="false">IF(B9="","",N(C9)/60*'1. Costes fijos'!C28)</f>
        <v>6.58508158508158</v>
      </c>
      <c r="P9" s="16" t="n">
        <f aca="false">IF(B9="","",M9+N9+O9+N(J9))</f>
        <v>25.9550815850816</v>
      </c>
      <c r="Q9" s="16" t="n">
        <f aca="false">IF(B9="","",IF(N(K9)&gt;=1,"Margen &lt; 100%",P9/(1-N(K9))))</f>
        <v>39.9308947462794</v>
      </c>
      <c r="R9" s="16" t="n">
        <f aca="false">IF(OR(B9="",NOT(ISNUMBER(Q9))),"",Q9*(1+N(L9)))</f>
        <v>48.316382642998</v>
      </c>
      <c r="S9" s="13" t="n">
        <v>35</v>
      </c>
      <c r="T9" s="24" t="n">
        <f aca="false">IF(OR(B9="",NOT(ISNUMBER(S9))),"",S9/(1+N(L9))-P9)</f>
        <v>2.97053824962916</v>
      </c>
      <c r="U9" s="25" t="n">
        <f aca="false">IF(OR(B9="",NOT(ISNUMBER(S9)),N(S9)=0),"",T9/(S9/(1+N(L9))))</f>
        <v>0.102695750915751</v>
      </c>
      <c r="V9" s="26" t="str">
        <f aca="false">IF(U9="","",IF(T9&lt;0,"Pierdes dinero",IF(U9&lt;N(K9),"Por debajo de tu margen","Bien")))</f>
        <v>Por debajo de tu margen</v>
      </c>
    </row>
    <row r="10" customFormat="false" ht="15" hidden="false" customHeight="true" outlineLevel="0" collapsed="false">
      <c r="A10" s="2"/>
      <c r="B10" s="14"/>
      <c r="C10" s="18"/>
      <c r="D10" s="14"/>
      <c r="E10" s="18"/>
      <c r="F10" s="14"/>
      <c r="G10" s="18"/>
      <c r="H10" s="14"/>
      <c r="I10" s="18"/>
      <c r="J10" s="13"/>
      <c r="K10" s="19"/>
      <c r="L10" s="19"/>
      <c r="M10" s="24" t="str">
        <f aca="false">IF(B10="","",IF(OR(D10="",E10=""),0,IFERROR(INDEX('2. Productos'!$F$6:$F$155,MATCH(D10,'2. Productos'!$B$6:$B$155,0))*E10,0))+IF(OR(F10="",G10=""),0,IFERROR(INDEX('2. Productos'!$F$6:$F$155,MATCH(F10,'2. Productos'!$B$6:$B$155,0))*G10,0))+IF(OR(H10="",I10=""),0,IFERROR(INDEX('2. Productos'!$F$6:$F$155,MATCH(H10,'2. Productos'!$B$6:$B$155,0))*I10,0)))</f>
        <v/>
      </c>
      <c r="N10" s="24" t="str">
        <f aca="false">IF(B10="","",N(C10)/60*'1. Costes fijos'!C26)</f>
        <v/>
      </c>
      <c r="O10" s="24" t="str">
        <f aca="false">IF(B10="","",N(C10)/60*'1. Costes fijos'!C28)</f>
        <v/>
      </c>
      <c r="P10" s="16" t="str">
        <f aca="false">IF(B10="","",M10+N10+O10+N(J10))</f>
        <v/>
      </c>
      <c r="Q10" s="16" t="str">
        <f aca="false">IF(B10="","",IF(N(K10)&gt;=1,"Margen &lt; 100%",P10/(1-N(K10))))</f>
        <v/>
      </c>
      <c r="R10" s="16" t="str">
        <f aca="false">IF(OR(B10="",NOT(ISNUMBER(Q10))),"",Q10*(1+N(L10)))</f>
        <v/>
      </c>
      <c r="S10" s="13"/>
      <c r="T10" s="24" t="str">
        <f aca="false">IF(OR(B10="",NOT(ISNUMBER(S10))),"",S10/(1+N(L10))-P10)</f>
        <v/>
      </c>
      <c r="U10" s="25" t="str">
        <f aca="false">IF(OR(B10="",NOT(ISNUMBER(S10)),N(S10)=0),"",T10/(S10/(1+N(L10))))</f>
        <v/>
      </c>
      <c r="V10" s="26" t="str">
        <f aca="false">IF(U10="","",IF(T10&lt;0,"Pierdes dinero",IF(U10&lt;N(K10),"Por debajo de tu margen","Bien")))</f>
        <v/>
      </c>
    </row>
    <row r="11" customFormat="false" ht="15" hidden="false" customHeight="true" outlineLevel="0" collapsed="false">
      <c r="A11" s="2"/>
      <c r="B11" s="14"/>
      <c r="C11" s="18"/>
      <c r="D11" s="14"/>
      <c r="E11" s="18"/>
      <c r="F11" s="14"/>
      <c r="G11" s="18"/>
      <c r="H11" s="14"/>
      <c r="I11" s="18"/>
      <c r="J11" s="13"/>
      <c r="K11" s="19"/>
      <c r="L11" s="19"/>
      <c r="M11" s="24" t="str">
        <f aca="false">IF(B11="","",IF(OR(D11="",E11=""),0,IFERROR(INDEX('2. Productos'!$F$6:$F$155,MATCH(D11,'2. Productos'!$B$6:$B$155,0))*E11,0))+IF(OR(F11="",G11=""),0,IFERROR(INDEX('2. Productos'!$F$6:$F$155,MATCH(F11,'2. Productos'!$B$6:$B$155,0))*G11,0))+IF(OR(H11="",I11=""),0,IFERROR(INDEX('2. Productos'!$F$6:$F$155,MATCH(H11,'2. Productos'!$B$6:$B$155,0))*I11,0)))</f>
        <v/>
      </c>
      <c r="N11" s="24" t="str">
        <f aca="false">IF(B11="","",N(C11)/60*'1. Costes fijos'!C26)</f>
        <v/>
      </c>
      <c r="O11" s="24" t="str">
        <f aca="false">IF(B11="","",N(C11)/60*'1. Costes fijos'!C28)</f>
        <v/>
      </c>
      <c r="P11" s="16" t="str">
        <f aca="false">IF(B11="","",M11+N11+O11+N(J11))</f>
        <v/>
      </c>
      <c r="Q11" s="16" t="str">
        <f aca="false">IF(B11="","",IF(N(K11)&gt;=1,"Margen &lt; 100%",P11/(1-N(K11))))</f>
        <v/>
      </c>
      <c r="R11" s="16" t="str">
        <f aca="false">IF(OR(B11="",NOT(ISNUMBER(Q11))),"",Q11*(1+N(L11)))</f>
        <v/>
      </c>
      <c r="S11" s="13"/>
      <c r="T11" s="24" t="str">
        <f aca="false">IF(OR(B11="",NOT(ISNUMBER(S11))),"",S11/(1+N(L11))-P11)</f>
        <v/>
      </c>
      <c r="U11" s="25" t="str">
        <f aca="false">IF(OR(B11="",NOT(ISNUMBER(S11)),N(S11)=0),"",T11/(S11/(1+N(L11))))</f>
        <v/>
      </c>
      <c r="V11" s="26" t="str">
        <f aca="false">IF(U11="","",IF(T11&lt;0,"Pierdes dinero",IF(U11&lt;N(K11),"Por debajo de tu margen","Bien")))</f>
        <v/>
      </c>
    </row>
    <row r="12" customFormat="false" ht="15" hidden="false" customHeight="true" outlineLevel="0" collapsed="false">
      <c r="A12" s="2"/>
      <c r="B12" s="14"/>
      <c r="C12" s="18"/>
      <c r="D12" s="14"/>
      <c r="E12" s="18"/>
      <c r="F12" s="14"/>
      <c r="G12" s="18"/>
      <c r="H12" s="14"/>
      <c r="I12" s="18"/>
      <c r="J12" s="13"/>
      <c r="K12" s="19"/>
      <c r="L12" s="19"/>
      <c r="M12" s="24" t="str">
        <f aca="false">IF(B12="","",IF(OR(D12="",E12=""),0,IFERROR(INDEX('2. Productos'!$F$6:$F$155,MATCH(D12,'2. Productos'!$B$6:$B$155,0))*E12,0))+IF(OR(F12="",G12=""),0,IFERROR(INDEX('2. Productos'!$F$6:$F$155,MATCH(F12,'2. Productos'!$B$6:$B$155,0))*G12,0))+IF(OR(H12="",I12=""),0,IFERROR(INDEX('2. Productos'!$F$6:$F$155,MATCH(H12,'2. Productos'!$B$6:$B$155,0))*I12,0)))</f>
        <v/>
      </c>
      <c r="N12" s="24" t="str">
        <f aca="false">IF(B12="","",N(C12)/60*'1. Costes fijos'!C26)</f>
        <v/>
      </c>
      <c r="O12" s="24" t="str">
        <f aca="false">IF(B12="","",N(C12)/60*'1. Costes fijos'!C28)</f>
        <v/>
      </c>
      <c r="P12" s="16" t="str">
        <f aca="false">IF(B12="","",M12+N12+O12+N(J12))</f>
        <v/>
      </c>
      <c r="Q12" s="16" t="str">
        <f aca="false">IF(B12="","",IF(N(K12)&gt;=1,"Margen &lt; 100%",P12/(1-N(K12))))</f>
        <v/>
      </c>
      <c r="R12" s="16" t="str">
        <f aca="false">IF(OR(B12="",NOT(ISNUMBER(Q12))),"",Q12*(1+N(L12)))</f>
        <v/>
      </c>
      <c r="S12" s="13"/>
      <c r="T12" s="24" t="str">
        <f aca="false">IF(OR(B12="",NOT(ISNUMBER(S12))),"",S12/(1+N(L12))-P12)</f>
        <v/>
      </c>
      <c r="U12" s="25" t="str">
        <f aca="false">IF(OR(B12="",NOT(ISNUMBER(S12)),N(S12)=0),"",T12/(S12/(1+N(L12))))</f>
        <v/>
      </c>
      <c r="V12" s="26" t="str">
        <f aca="false">IF(U12="","",IF(T12&lt;0,"Pierdes dinero",IF(U12&lt;N(K12),"Por debajo de tu margen","Bien")))</f>
        <v/>
      </c>
    </row>
    <row r="13" customFormat="false" ht="15" hidden="false" customHeight="true" outlineLevel="0" collapsed="false">
      <c r="A13" s="2"/>
      <c r="B13" s="14"/>
      <c r="C13" s="18"/>
      <c r="D13" s="14"/>
      <c r="E13" s="18"/>
      <c r="F13" s="14"/>
      <c r="G13" s="18"/>
      <c r="H13" s="14"/>
      <c r="I13" s="18"/>
      <c r="J13" s="13"/>
      <c r="K13" s="19"/>
      <c r="L13" s="19"/>
      <c r="M13" s="24" t="str">
        <f aca="false">IF(B13="","",IF(OR(D13="",E13=""),0,IFERROR(INDEX('2. Productos'!$F$6:$F$155,MATCH(D13,'2. Productos'!$B$6:$B$155,0))*E13,0))+IF(OR(F13="",G13=""),0,IFERROR(INDEX('2. Productos'!$F$6:$F$155,MATCH(F13,'2. Productos'!$B$6:$B$155,0))*G13,0))+IF(OR(H13="",I13=""),0,IFERROR(INDEX('2. Productos'!$F$6:$F$155,MATCH(H13,'2. Productos'!$B$6:$B$155,0))*I13,0)))</f>
        <v/>
      </c>
      <c r="N13" s="24" t="str">
        <f aca="false">IF(B13="","",N(C13)/60*'1. Costes fijos'!C26)</f>
        <v/>
      </c>
      <c r="O13" s="24" t="str">
        <f aca="false">IF(B13="","",N(C13)/60*'1. Costes fijos'!C28)</f>
        <v/>
      </c>
      <c r="P13" s="16" t="str">
        <f aca="false">IF(B13="","",M13+N13+O13+N(J13))</f>
        <v/>
      </c>
      <c r="Q13" s="16" t="str">
        <f aca="false">IF(B13="","",IF(N(K13)&gt;=1,"Margen &lt; 100%",P13/(1-N(K13))))</f>
        <v/>
      </c>
      <c r="R13" s="16" t="str">
        <f aca="false">IF(OR(B13="",NOT(ISNUMBER(Q13))),"",Q13*(1+N(L13)))</f>
        <v/>
      </c>
      <c r="S13" s="13"/>
      <c r="T13" s="24" t="str">
        <f aca="false">IF(OR(B13="",NOT(ISNUMBER(S13))),"",S13/(1+N(L13))-P13)</f>
        <v/>
      </c>
      <c r="U13" s="25" t="str">
        <f aca="false">IF(OR(B13="",NOT(ISNUMBER(S13)),N(S13)=0),"",T13/(S13/(1+N(L13))))</f>
        <v/>
      </c>
      <c r="V13" s="26" t="str">
        <f aca="false">IF(U13="","",IF(T13&lt;0,"Pierdes dinero",IF(U13&lt;N(K13),"Por debajo de tu margen","Bien")))</f>
        <v/>
      </c>
    </row>
    <row r="14" customFormat="false" ht="15" hidden="false" customHeight="true" outlineLevel="0" collapsed="false">
      <c r="A14" s="2"/>
      <c r="B14" s="14"/>
      <c r="C14" s="18"/>
      <c r="D14" s="14"/>
      <c r="E14" s="18"/>
      <c r="F14" s="14"/>
      <c r="G14" s="18"/>
      <c r="H14" s="14"/>
      <c r="I14" s="18"/>
      <c r="J14" s="13"/>
      <c r="K14" s="19"/>
      <c r="L14" s="19"/>
      <c r="M14" s="24" t="str">
        <f aca="false">IF(B14="","",IF(OR(D14="",E14=""),0,IFERROR(INDEX('2. Productos'!$F$6:$F$155,MATCH(D14,'2. Productos'!$B$6:$B$155,0))*E14,0))+IF(OR(F14="",G14=""),0,IFERROR(INDEX('2. Productos'!$F$6:$F$155,MATCH(F14,'2. Productos'!$B$6:$B$155,0))*G14,0))+IF(OR(H14="",I14=""),0,IFERROR(INDEX('2. Productos'!$F$6:$F$155,MATCH(H14,'2. Productos'!$B$6:$B$155,0))*I14,0)))</f>
        <v/>
      </c>
      <c r="N14" s="24" t="str">
        <f aca="false">IF(B14="","",N(C14)/60*'1. Costes fijos'!C26)</f>
        <v/>
      </c>
      <c r="O14" s="24" t="str">
        <f aca="false">IF(B14="","",N(C14)/60*'1. Costes fijos'!C28)</f>
        <v/>
      </c>
      <c r="P14" s="16" t="str">
        <f aca="false">IF(B14="","",M14+N14+O14+N(J14))</f>
        <v/>
      </c>
      <c r="Q14" s="16" t="str">
        <f aca="false">IF(B14="","",IF(N(K14)&gt;=1,"Margen &lt; 100%",P14/(1-N(K14))))</f>
        <v/>
      </c>
      <c r="R14" s="16" t="str">
        <f aca="false">IF(OR(B14="",NOT(ISNUMBER(Q14))),"",Q14*(1+N(L14)))</f>
        <v/>
      </c>
      <c r="S14" s="13"/>
      <c r="T14" s="24" t="str">
        <f aca="false">IF(OR(B14="",NOT(ISNUMBER(S14))),"",S14/(1+N(L14))-P14)</f>
        <v/>
      </c>
      <c r="U14" s="25" t="str">
        <f aca="false">IF(OR(B14="",NOT(ISNUMBER(S14)),N(S14)=0),"",T14/(S14/(1+N(L14))))</f>
        <v/>
      </c>
      <c r="V14" s="26" t="str">
        <f aca="false">IF(U14="","",IF(T14&lt;0,"Pierdes dinero",IF(U14&lt;N(K14),"Por debajo de tu margen","Bien")))</f>
        <v/>
      </c>
    </row>
    <row r="15" customFormat="false" ht="15" hidden="false" customHeight="true" outlineLevel="0" collapsed="false">
      <c r="A15" s="2"/>
      <c r="B15" s="14"/>
      <c r="C15" s="18"/>
      <c r="D15" s="14"/>
      <c r="E15" s="18"/>
      <c r="F15" s="14"/>
      <c r="G15" s="18"/>
      <c r="H15" s="14"/>
      <c r="I15" s="18"/>
      <c r="J15" s="13"/>
      <c r="K15" s="19"/>
      <c r="L15" s="19"/>
      <c r="M15" s="24" t="str">
        <f aca="false">IF(B15="","",IF(OR(D15="",E15=""),0,IFERROR(INDEX('2. Productos'!$F$6:$F$155,MATCH(D15,'2. Productos'!$B$6:$B$155,0))*E15,0))+IF(OR(F15="",G15=""),0,IFERROR(INDEX('2. Productos'!$F$6:$F$155,MATCH(F15,'2. Productos'!$B$6:$B$155,0))*G15,0))+IF(OR(H15="",I15=""),0,IFERROR(INDEX('2. Productos'!$F$6:$F$155,MATCH(H15,'2. Productos'!$B$6:$B$155,0))*I15,0)))</f>
        <v/>
      </c>
      <c r="N15" s="24" t="str">
        <f aca="false">IF(B15="","",N(C15)/60*'1. Costes fijos'!C26)</f>
        <v/>
      </c>
      <c r="O15" s="24" t="str">
        <f aca="false">IF(B15="","",N(C15)/60*'1. Costes fijos'!C28)</f>
        <v/>
      </c>
      <c r="P15" s="16" t="str">
        <f aca="false">IF(B15="","",M15+N15+O15+N(J15))</f>
        <v/>
      </c>
      <c r="Q15" s="16" t="str">
        <f aca="false">IF(B15="","",IF(N(K15)&gt;=1,"Margen &lt; 100%",P15/(1-N(K15))))</f>
        <v/>
      </c>
      <c r="R15" s="16" t="str">
        <f aca="false">IF(OR(B15="",NOT(ISNUMBER(Q15))),"",Q15*(1+N(L15)))</f>
        <v/>
      </c>
      <c r="S15" s="13"/>
      <c r="T15" s="24" t="str">
        <f aca="false">IF(OR(B15="",NOT(ISNUMBER(S15))),"",S15/(1+N(L15))-P15)</f>
        <v/>
      </c>
      <c r="U15" s="25" t="str">
        <f aca="false">IF(OR(B15="",NOT(ISNUMBER(S15)),N(S15)=0),"",T15/(S15/(1+N(L15))))</f>
        <v/>
      </c>
      <c r="V15" s="26" t="str">
        <f aca="false">IF(U15="","",IF(T15&lt;0,"Pierdes dinero",IF(U15&lt;N(K15),"Por debajo de tu margen","Bien")))</f>
        <v/>
      </c>
    </row>
    <row r="16" customFormat="false" ht="15" hidden="false" customHeight="true" outlineLevel="0" collapsed="false">
      <c r="A16" s="2"/>
      <c r="B16" s="14"/>
      <c r="C16" s="18"/>
      <c r="D16" s="14"/>
      <c r="E16" s="18"/>
      <c r="F16" s="14"/>
      <c r="G16" s="18"/>
      <c r="H16" s="14"/>
      <c r="I16" s="18"/>
      <c r="J16" s="13"/>
      <c r="K16" s="19"/>
      <c r="L16" s="19"/>
      <c r="M16" s="24" t="str">
        <f aca="false">IF(B16="","",IF(OR(D16="",E16=""),0,IFERROR(INDEX('2. Productos'!$F$6:$F$155,MATCH(D16,'2. Productos'!$B$6:$B$155,0))*E16,0))+IF(OR(F16="",G16=""),0,IFERROR(INDEX('2. Productos'!$F$6:$F$155,MATCH(F16,'2. Productos'!$B$6:$B$155,0))*G16,0))+IF(OR(H16="",I16=""),0,IFERROR(INDEX('2. Productos'!$F$6:$F$155,MATCH(H16,'2. Productos'!$B$6:$B$155,0))*I16,0)))</f>
        <v/>
      </c>
      <c r="N16" s="24" t="str">
        <f aca="false">IF(B16="","",N(C16)/60*'1. Costes fijos'!C26)</f>
        <v/>
      </c>
      <c r="O16" s="24" t="str">
        <f aca="false">IF(B16="","",N(C16)/60*'1. Costes fijos'!C28)</f>
        <v/>
      </c>
      <c r="P16" s="16" t="str">
        <f aca="false">IF(B16="","",M16+N16+O16+N(J16))</f>
        <v/>
      </c>
      <c r="Q16" s="16" t="str">
        <f aca="false">IF(B16="","",IF(N(K16)&gt;=1,"Margen &lt; 100%",P16/(1-N(K16))))</f>
        <v/>
      </c>
      <c r="R16" s="16" t="str">
        <f aca="false">IF(OR(B16="",NOT(ISNUMBER(Q16))),"",Q16*(1+N(L16)))</f>
        <v/>
      </c>
      <c r="S16" s="13"/>
      <c r="T16" s="24" t="str">
        <f aca="false">IF(OR(B16="",NOT(ISNUMBER(S16))),"",S16/(1+N(L16))-P16)</f>
        <v/>
      </c>
      <c r="U16" s="25" t="str">
        <f aca="false">IF(OR(B16="",NOT(ISNUMBER(S16)),N(S16)=0),"",T16/(S16/(1+N(L16))))</f>
        <v/>
      </c>
      <c r="V16" s="26" t="str">
        <f aca="false">IF(U16="","",IF(T16&lt;0,"Pierdes dinero",IF(U16&lt;N(K16),"Por debajo de tu margen","Bien")))</f>
        <v/>
      </c>
    </row>
    <row r="17" customFormat="false" ht="15" hidden="false" customHeight="true" outlineLevel="0" collapsed="false">
      <c r="A17" s="2"/>
      <c r="B17" s="14"/>
      <c r="C17" s="18"/>
      <c r="D17" s="14"/>
      <c r="E17" s="18"/>
      <c r="F17" s="14"/>
      <c r="G17" s="18"/>
      <c r="H17" s="14"/>
      <c r="I17" s="18"/>
      <c r="J17" s="13"/>
      <c r="K17" s="19"/>
      <c r="L17" s="19"/>
      <c r="M17" s="24" t="str">
        <f aca="false">IF(B17="","",IF(OR(D17="",E17=""),0,IFERROR(INDEX('2. Productos'!$F$6:$F$155,MATCH(D17,'2. Productos'!$B$6:$B$155,0))*E17,0))+IF(OR(F17="",G17=""),0,IFERROR(INDEX('2. Productos'!$F$6:$F$155,MATCH(F17,'2. Productos'!$B$6:$B$155,0))*G17,0))+IF(OR(H17="",I17=""),0,IFERROR(INDEX('2. Productos'!$F$6:$F$155,MATCH(H17,'2. Productos'!$B$6:$B$155,0))*I17,0)))</f>
        <v/>
      </c>
      <c r="N17" s="24" t="str">
        <f aca="false">IF(B17="","",N(C17)/60*'1. Costes fijos'!C26)</f>
        <v/>
      </c>
      <c r="O17" s="24" t="str">
        <f aca="false">IF(B17="","",N(C17)/60*'1. Costes fijos'!C28)</f>
        <v/>
      </c>
      <c r="P17" s="16" t="str">
        <f aca="false">IF(B17="","",M17+N17+O17+N(J17))</f>
        <v/>
      </c>
      <c r="Q17" s="16" t="str">
        <f aca="false">IF(B17="","",IF(N(K17)&gt;=1,"Margen &lt; 100%",P17/(1-N(K17))))</f>
        <v/>
      </c>
      <c r="R17" s="16" t="str">
        <f aca="false">IF(OR(B17="",NOT(ISNUMBER(Q17))),"",Q17*(1+N(L17)))</f>
        <v/>
      </c>
      <c r="S17" s="13"/>
      <c r="T17" s="24" t="str">
        <f aca="false">IF(OR(B17="",NOT(ISNUMBER(S17))),"",S17/(1+N(L17))-P17)</f>
        <v/>
      </c>
      <c r="U17" s="25" t="str">
        <f aca="false">IF(OR(B17="",NOT(ISNUMBER(S17)),N(S17)=0),"",T17/(S17/(1+N(L17))))</f>
        <v/>
      </c>
      <c r="V17" s="26" t="str">
        <f aca="false">IF(U17="","",IF(T17&lt;0,"Pierdes dinero",IF(U17&lt;N(K17),"Por debajo de tu margen","Bien")))</f>
        <v/>
      </c>
    </row>
    <row r="18" customFormat="false" ht="15" hidden="false" customHeight="true" outlineLevel="0" collapsed="false">
      <c r="A18" s="2"/>
      <c r="B18" s="14"/>
      <c r="C18" s="18"/>
      <c r="D18" s="14"/>
      <c r="E18" s="18"/>
      <c r="F18" s="14"/>
      <c r="G18" s="18"/>
      <c r="H18" s="14"/>
      <c r="I18" s="18"/>
      <c r="J18" s="13"/>
      <c r="K18" s="19"/>
      <c r="L18" s="19"/>
      <c r="M18" s="24" t="str">
        <f aca="false">IF(B18="","",IF(OR(D18="",E18=""),0,IFERROR(INDEX('2. Productos'!$F$6:$F$155,MATCH(D18,'2. Productos'!$B$6:$B$155,0))*E18,0))+IF(OR(F18="",G18=""),0,IFERROR(INDEX('2. Productos'!$F$6:$F$155,MATCH(F18,'2. Productos'!$B$6:$B$155,0))*G18,0))+IF(OR(H18="",I18=""),0,IFERROR(INDEX('2. Productos'!$F$6:$F$155,MATCH(H18,'2. Productos'!$B$6:$B$155,0))*I18,0)))</f>
        <v/>
      </c>
      <c r="N18" s="24" t="str">
        <f aca="false">IF(B18="","",N(C18)/60*'1. Costes fijos'!C26)</f>
        <v/>
      </c>
      <c r="O18" s="24" t="str">
        <f aca="false">IF(B18="","",N(C18)/60*'1. Costes fijos'!C28)</f>
        <v/>
      </c>
      <c r="P18" s="16" t="str">
        <f aca="false">IF(B18="","",M18+N18+O18+N(J18))</f>
        <v/>
      </c>
      <c r="Q18" s="16" t="str">
        <f aca="false">IF(B18="","",IF(N(K18)&gt;=1,"Margen &lt; 100%",P18/(1-N(K18))))</f>
        <v/>
      </c>
      <c r="R18" s="16" t="str">
        <f aca="false">IF(OR(B18="",NOT(ISNUMBER(Q18))),"",Q18*(1+N(L18)))</f>
        <v/>
      </c>
      <c r="S18" s="13"/>
      <c r="T18" s="24" t="str">
        <f aca="false">IF(OR(B18="",NOT(ISNUMBER(S18))),"",S18/(1+N(L18))-P18)</f>
        <v/>
      </c>
      <c r="U18" s="25" t="str">
        <f aca="false">IF(OR(B18="",NOT(ISNUMBER(S18)),N(S18)=0),"",T18/(S18/(1+N(L18))))</f>
        <v/>
      </c>
      <c r="V18" s="26" t="str">
        <f aca="false">IF(U18="","",IF(T18&lt;0,"Pierdes dinero",IF(U18&lt;N(K18),"Por debajo de tu margen","Bien")))</f>
        <v/>
      </c>
    </row>
    <row r="19" customFormat="false" ht="15" hidden="false" customHeight="true" outlineLevel="0" collapsed="false">
      <c r="A19" s="2"/>
      <c r="B19" s="14"/>
      <c r="C19" s="18"/>
      <c r="D19" s="14"/>
      <c r="E19" s="18"/>
      <c r="F19" s="14"/>
      <c r="G19" s="18"/>
      <c r="H19" s="14"/>
      <c r="I19" s="18"/>
      <c r="J19" s="13"/>
      <c r="K19" s="19"/>
      <c r="L19" s="19"/>
      <c r="M19" s="24" t="str">
        <f aca="false">IF(B19="","",IF(OR(D19="",E19=""),0,IFERROR(INDEX('2. Productos'!$F$6:$F$155,MATCH(D19,'2. Productos'!$B$6:$B$155,0))*E19,0))+IF(OR(F19="",G19=""),0,IFERROR(INDEX('2. Productos'!$F$6:$F$155,MATCH(F19,'2. Productos'!$B$6:$B$155,0))*G19,0))+IF(OR(H19="",I19=""),0,IFERROR(INDEX('2. Productos'!$F$6:$F$155,MATCH(H19,'2. Productos'!$B$6:$B$155,0))*I19,0)))</f>
        <v/>
      </c>
      <c r="N19" s="24" t="str">
        <f aca="false">IF(B19="","",N(C19)/60*'1. Costes fijos'!C26)</f>
        <v/>
      </c>
      <c r="O19" s="24" t="str">
        <f aca="false">IF(B19="","",N(C19)/60*'1. Costes fijos'!C28)</f>
        <v/>
      </c>
      <c r="P19" s="16" t="str">
        <f aca="false">IF(B19="","",M19+N19+O19+N(J19))</f>
        <v/>
      </c>
      <c r="Q19" s="16" t="str">
        <f aca="false">IF(B19="","",IF(N(K19)&gt;=1,"Margen &lt; 100%",P19/(1-N(K19))))</f>
        <v/>
      </c>
      <c r="R19" s="16" t="str">
        <f aca="false">IF(OR(B19="",NOT(ISNUMBER(Q19))),"",Q19*(1+N(L19)))</f>
        <v/>
      </c>
      <c r="S19" s="13"/>
      <c r="T19" s="24" t="str">
        <f aca="false">IF(OR(B19="",NOT(ISNUMBER(S19))),"",S19/(1+N(L19))-P19)</f>
        <v/>
      </c>
      <c r="U19" s="25" t="str">
        <f aca="false">IF(OR(B19="",NOT(ISNUMBER(S19)),N(S19)=0),"",T19/(S19/(1+N(L19))))</f>
        <v/>
      </c>
      <c r="V19" s="26" t="str">
        <f aca="false">IF(U19="","",IF(T19&lt;0,"Pierdes dinero",IF(U19&lt;N(K19),"Por debajo de tu margen","Bien")))</f>
        <v/>
      </c>
    </row>
    <row r="20" customFormat="false" ht="15" hidden="false" customHeight="true" outlineLevel="0" collapsed="false">
      <c r="A20" s="2"/>
      <c r="B20" s="14"/>
      <c r="C20" s="18"/>
      <c r="D20" s="14"/>
      <c r="E20" s="18"/>
      <c r="F20" s="14"/>
      <c r="G20" s="18"/>
      <c r="H20" s="14"/>
      <c r="I20" s="18"/>
      <c r="J20" s="13"/>
      <c r="K20" s="19"/>
      <c r="L20" s="19"/>
      <c r="M20" s="24" t="str">
        <f aca="false">IF(B20="","",IF(OR(D20="",E20=""),0,IFERROR(INDEX('2. Productos'!$F$6:$F$155,MATCH(D20,'2. Productos'!$B$6:$B$155,0))*E20,0))+IF(OR(F20="",G20=""),0,IFERROR(INDEX('2. Productos'!$F$6:$F$155,MATCH(F20,'2. Productos'!$B$6:$B$155,0))*G20,0))+IF(OR(H20="",I20=""),0,IFERROR(INDEX('2. Productos'!$F$6:$F$155,MATCH(H20,'2. Productos'!$B$6:$B$155,0))*I20,0)))</f>
        <v/>
      </c>
      <c r="N20" s="24" t="str">
        <f aca="false">IF(B20="","",N(C20)/60*'1. Costes fijos'!C26)</f>
        <v/>
      </c>
      <c r="O20" s="24" t="str">
        <f aca="false">IF(B20="","",N(C20)/60*'1. Costes fijos'!C28)</f>
        <v/>
      </c>
      <c r="P20" s="16" t="str">
        <f aca="false">IF(B20="","",M20+N20+O20+N(J20))</f>
        <v/>
      </c>
      <c r="Q20" s="16" t="str">
        <f aca="false">IF(B20="","",IF(N(K20)&gt;=1,"Margen &lt; 100%",P20/(1-N(K20))))</f>
        <v/>
      </c>
      <c r="R20" s="16" t="str">
        <f aca="false">IF(OR(B20="",NOT(ISNUMBER(Q20))),"",Q20*(1+N(L20)))</f>
        <v/>
      </c>
      <c r="S20" s="13"/>
      <c r="T20" s="24" t="str">
        <f aca="false">IF(OR(B20="",NOT(ISNUMBER(S20))),"",S20/(1+N(L20))-P20)</f>
        <v/>
      </c>
      <c r="U20" s="25" t="str">
        <f aca="false">IF(OR(B20="",NOT(ISNUMBER(S20)),N(S20)=0),"",T20/(S20/(1+N(L20))))</f>
        <v/>
      </c>
      <c r="V20" s="26" t="str">
        <f aca="false">IF(U20="","",IF(T20&lt;0,"Pierdes dinero",IF(U20&lt;N(K20),"Por debajo de tu margen","Bien")))</f>
        <v/>
      </c>
    </row>
    <row r="21" customFormat="false" ht="15" hidden="false" customHeight="true" outlineLevel="0" collapsed="false">
      <c r="A21" s="2"/>
      <c r="B21" s="14"/>
      <c r="C21" s="18"/>
      <c r="D21" s="14"/>
      <c r="E21" s="18"/>
      <c r="F21" s="14"/>
      <c r="G21" s="18"/>
      <c r="H21" s="14"/>
      <c r="I21" s="18"/>
      <c r="J21" s="13"/>
      <c r="K21" s="19"/>
      <c r="L21" s="19"/>
      <c r="M21" s="24" t="str">
        <f aca="false">IF(B21="","",IF(OR(D21="",E21=""),0,IFERROR(INDEX('2. Productos'!$F$6:$F$155,MATCH(D21,'2. Productos'!$B$6:$B$155,0))*E21,0))+IF(OR(F21="",G21=""),0,IFERROR(INDEX('2. Productos'!$F$6:$F$155,MATCH(F21,'2. Productos'!$B$6:$B$155,0))*G21,0))+IF(OR(H21="",I21=""),0,IFERROR(INDEX('2. Productos'!$F$6:$F$155,MATCH(H21,'2. Productos'!$B$6:$B$155,0))*I21,0)))</f>
        <v/>
      </c>
      <c r="N21" s="24" t="str">
        <f aca="false">IF(B21="","",N(C21)/60*'1. Costes fijos'!C26)</f>
        <v/>
      </c>
      <c r="O21" s="24" t="str">
        <f aca="false">IF(B21="","",N(C21)/60*'1. Costes fijos'!C28)</f>
        <v/>
      </c>
      <c r="P21" s="16" t="str">
        <f aca="false">IF(B21="","",M21+N21+O21+N(J21))</f>
        <v/>
      </c>
      <c r="Q21" s="16" t="str">
        <f aca="false">IF(B21="","",IF(N(K21)&gt;=1,"Margen &lt; 100%",P21/(1-N(K21))))</f>
        <v/>
      </c>
      <c r="R21" s="16" t="str">
        <f aca="false">IF(OR(B21="",NOT(ISNUMBER(Q21))),"",Q21*(1+N(L21)))</f>
        <v/>
      </c>
      <c r="S21" s="13"/>
      <c r="T21" s="24" t="str">
        <f aca="false">IF(OR(B21="",NOT(ISNUMBER(S21))),"",S21/(1+N(L21))-P21)</f>
        <v/>
      </c>
      <c r="U21" s="25" t="str">
        <f aca="false">IF(OR(B21="",NOT(ISNUMBER(S21)),N(S21)=0),"",T21/(S21/(1+N(L21))))</f>
        <v/>
      </c>
      <c r="V21" s="26" t="str">
        <f aca="false">IF(U21="","",IF(T21&lt;0,"Pierdes dinero",IF(U21&lt;N(K21),"Por debajo de tu margen","Bien")))</f>
        <v/>
      </c>
    </row>
    <row r="22" customFormat="false" ht="15" hidden="false" customHeight="true" outlineLevel="0" collapsed="false">
      <c r="A22" s="2"/>
      <c r="B22" s="14"/>
      <c r="C22" s="18"/>
      <c r="D22" s="14"/>
      <c r="E22" s="18"/>
      <c r="F22" s="14"/>
      <c r="G22" s="18"/>
      <c r="H22" s="14"/>
      <c r="I22" s="18"/>
      <c r="J22" s="13"/>
      <c r="K22" s="19"/>
      <c r="L22" s="19"/>
      <c r="M22" s="24" t="str">
        <f aca="false">IF(B22="","",IF(OR(D22="",E22=""),0,IFERROR(INDEX('2. Productos'!$F$6:$F$155,MATCH(D22,'2. Productos'!$B$6:$B$155,0))*E22,0))+IF(OR(F22="",G22=""),0,IFERROR(INDEX('2. Productos'!$F$6:$F$155,MATCH(F22,'2. Productos'!$B$6:$B$155,0))*G22,0))+IF(OR(H22="",I22=""),0,IFERROR(INDEX('2. Productos'!$F$6:$F$155,MATCH(H22,'2. Productos'!$B$6:$B$155,0))*I22,0)))</f>
        <v/>
      </c>
      <c r="N22" s="24" t="str">
        <f aca="false">IF(B22="","",N(C22)/60*'1. Costes fijos'!C26)</f>
        <v/>
      </c>
      <c r="O22" s="24" t="str">
        <f aca="false">IF(B22="","",N(C22)/60*'1. Costes fijos'!C28)</f>
        <v/>
      </c>
      <c r="P22" s="16" t="str">
        <f aca="false">IF(B22="","",M22+N22+O22+N(J22))</f>
        <v/>
      </c>
      <c r="Q22" s="16" t="str">
        <f aca="false">IF(B22="","",IF(N(K22)&gt;=1,"Margen &lt; 100%",P22/(1-N(K22))))</f>
        <v/>
      </c>
      <c r="R22" s="16" t="str">
        <f aca="false">IF(OR(B22="",NOT(ISNUMBER(Q22))),"",Q22*(1+N(L22)))</f>
        <v/>
      </c>
      <c r="S22" s="13"/>
      <c r="T22" s="24" t="str">
        <f aca="false">IF(OR(B22="",NOT(ISNUMBER(S22))),"",S22/(1+N(L22))-P22)</f>
        <v/>
      </c>
      <c r="U22" s="25" t="str">
        <f aca="false">IF(OR(B22="",NOT(ISNUMBER(S22)),N(S22)=0),"",T22/(S22/(1+N(L22))))</f>
        <v/>
      </c>
      <c r="V22" s="26" t="str">
        <f aca="false">IF(U22="","",IF(T22&lt;0,"Pierdes dinero",IF(U22&lt;N(K22),"Por debajo de tu margen","Bien")))</f>
        <v/>
      </c>
    </row>
    <row r="23" customFormat="false" ht="15" hidden="false" customHeight="true" outlineLevel="0" collapsed="false">
      <c r="A23" s="2"/>
      <c r="B23" s="14"/>
      <c r="C23" s="18"/>
      <c r="D23" s="14"/>
      <c r="E23" s="18"/>
      <c r="F23" s="14"/>
      <c r="G23" s="18"/>
      <c r="H23" s="14"/>
      <c r="I23" s="18"/>
      <c r="J23" s="13"/>
      <c r="K23" s="19"/>
      <c r="L23" s="19"/>
      <c r="M23" s="24" t="str">
        <f aca="false">IF(B23="","",IF(OR(D23="",E23=""),0,IFERROR(INDEX('2. Productos'!$F$6:$F$155,MATCH(D23,'2. Productos'!$B$6:$B$155,0))*E23,0))+IF(OR(F23="",G23=""),0,IFERROR(INDEX('2. Productos'!$F$6:$F$155,MATCH(F23,'2. Productos'!$B$6:$B$155,0))*G23,0))+IF(OR(H23="",I23=""),0,IFERROR(INDEX('2. Productos'!$F$6:$F$155,MATCH(H23,'2. Productos'!$B$6:$B$155,0))*I23,0)))</f>
        <v/>
      </c>
      <c r="N23" s="24" t="str">
        <f aca="false">IF(B23="","",N(C23)/60*'1. Costes fijos'!C26)</f>
        <v/>
      </c>
      <c r="O23" s="24" t="str">
        <f aca="false">IF(B23="","",N(C23)/60*'1. Costes fijos'!C28)</f>
        <v/>
      </c>
      <c r="P23" s="16" t="str">
        <f aca="false">IF(B23="","",M23+N23+O23+N(J23))</f>
        <v/>
      </c>
      <c r="Q23" s="16" t="str">
        <f aca="false">IF(B23="","",IF(N(K23)&gt;=1,"Margen &lt; 100%",P23/(1-N(K23))))</f>
        <v/>
      </c>
      <c r="R23" s="16" t="str">
        <f aca="false">IF(OR(B23="",NOT(ISNUMBER(Q23))),"",Q23*(1+N(L23)))</f>
        <v/>
      </c>
      <c r="S23" s="13"/>
      <c r="T23" s="24" t="str">
        <f aca="false">IF(OR(B23="",NOT(ISNUMBER(S23))),"",S23/(1+N(L23))-P23)</f>
        <v/>
      </c>
      <c r="U23" s="25" t="str">
        <f aca="false">IF(OR(B23="",NOT(ISNUMBER(S23)),N(S23)=0),"",T23/(S23/(1+N(L23))))</f>
        <v/>
      </c>
      <c r="V23" s="26" t="str">
        <f aca="false">IF(U23="","",IF(T23&lt;0,"Pierdes dinero",IF(U23&lt;N(K23),"Por debajo de tu margen","Bien")))</f>
        <v/>
      </c>
    </row>
    <row r="24" customFormat="false" ht="15" hidden="false" customHeight="true" outlineLevel="0" collapsed="false">
      <c r="A24" s="2"/>
      <c r="B24" s="14"/>
      <c r="C24" s="18"/>
      <c r="D24" s="14"/>
      <c r="E24" s="18"/>
      <c r="F24" s="14"/>
      <c r="G24" s="18"/>
      <c r="H24" s="14"/>
      <c r="I24" s="18"/>
      <c r="J24" s="13"/>
      <c r="K24" s="19"/>
      <c r="L24" s="19"/>
      <c r="M24" s="24" t="str">
        <f aca="false">IF(B24="","",IF(OR(D24="",E24=""),0,IFERROR(INDEX('2. Productos'!$F$6:$F$155,MATCH(D24,'2. Productos'!$B$6:$B$155,0))*E24,0))+IF(OR(F24="",G24=""),0,IFERROR(INDEX('2. Productos'!$F$6:$F$155,MATCH(F24,'2. Productos'!$B$6:$B$155,0))*G24,0))+IF(OR(H24="",I24=""),0,IFERROR(INDEX('2. Productos'!$F$6:$F$155,MATCH(H24,'2. Productos'!$B$6:$B$155,0))*I24,0)))</f>
        <v/>
      </c>
      <c r="N24" s="24" t="str">
        <f aca="false">IF(B24="","",N(C24)/60*'1. Costes fijos'!C26)</f>
        <v/>
      </c>
      <c r="O24" s="24" t="str">
        <f aca="false">IF(B24="","",N(C24)/60*'1. Costes fijos'!C28)</f>
        <v/>
      </c>
      <c r="P24" s="16" t="str">
        <f aca="false">IF(B24="","",M24+N24+O24+N(J24))</f>
        <v/>
      </c>
      <c r="Q24" s="16" t="str">
        <f aca="false">IF(B24="","",IF(N(K24)&gt;=1,"Margen &lt; 100%",P24/(1-N(K24))))</f>
        <v/>
      </c>
      <c r="R24" s="16" t="str">
        <f aca="false">IF(OR(B24="",NOT(ISNUMBER(Q24))),"",Q24*(1+N(L24)))</f>
        <v/>
      </c>
      <c r="S24" s="13"/>
      <c r="T24" s="24" t="str">
        <f aca="false">IF(OR(B24="",NOT(ISNUMBER(S24))),"",S24/(1+N(L24))-P24)</f>
        <v/>
      </c>
      <c r="U24" s="25" t="str">
        <f aca="false">IF(OR(B24="",NOT(ISNUMBER(S24)),N(S24)=0),"",T24/(S24/(1+N(L24))))</f>
        <v/>
      </c>
      <c r="V24" s="26" t="str">
        <f aca="false">IF(U24="","",IF(T24&lt;0,"Pierdes dinero",IF(U24&lt;N(K24),"Por debajo de tu margen","Bien")))</f>
        <v/>
      </c>
    </row>
    <row r="25" customFormat="false" ht="15" hidden="false" customHeight="true" outlineLevel="0" collapsed="false">
      <c r="A25" s="2"/>
      <c r="B25" s="14"/>
      <c r="C25" s="18"/>
      <c r="D25" s="14"/>
      <c r="E25" s="18"/>
      <c r="F25" s="14"/>
      <c r="G25" s="18"/>
      <c r="H25" s="14"/>
      <c r="I25" s="18"/>
      <c r="J25" s="13"/>
      <c r="K25" s="19"/>
      <c r="L25" s="19"/>
      <c r="M25" s="24" t="str">
        <f aca="false">IF(B25="","",IF(OR(D25="",E25=""),0,IFERROR(INDEX('2. Productos'!$F$6:$F$155,MATCH(D25,'2. Productos'!$B$6:$B$155,0))*E25,0))+IF(OR(F25="",G25=""),0,IFERROR(INDEX('2. Productos'!$F$6:$F$155,MATCH(F25,'2. Productos'!$B$6:$B$155,0))*G25,0))+IF(OR(H25="",I25=""),0,IFERROR(INDEX('2. Productos'!$F$6:$F$155,MATCH(H25,'2. Productos'!$B$6:$B$155,0))*I25,0)))</f>
        <v/>
      </c>
      <c r="N25" s="24" t="str">
        <f aca="false">IF(B25="","",N(C25)/60*'1. Costes fijos'!C26)</f>
        <v/>
      </c>
      <c r="O25" s="24" t="str">
        <f aca="false">IF(B25="","",N(C25)/60*'1. Costes fijos'!C28)</f>
        <v/>
      </c>
      <c r="P25" s="16" t="str">
        <f aca="false">IF(B25="","",M25+N25+O25+N(J25))</f>
        <v/>
      </c>
      <c r="Q25" s="16" t="str">
        <f aca="false">IF(B25="","",IF(N(K25)&gt;=1,"Margen &lt; 100%",P25/(1-N(K25))))</f>
        <v/>
      </c>
      <c r="R25" s="16" t="str">
        <f aca="false">IF(OR(B25="",NOT(ISNUMBER(Q25))),"",Q25*(1+N(L25)))</f>
        <v/>
      </c>
      <c r="S25" s="13"/>
      <c r="T25" s="24" t="str">
        <f aca="false">IF(OR(B25="",NOT(ISNUMBER(S25))),"",S25/(1+N(L25))-P25)</f>
        <v/>
      </c>
      <c r="U25" s="25" t="str">
        <f aca="false">IF(OR(B25="",NOT(ISNUMBER(S25)),N(S25)=0),"",T25/(S25/(1+N(L25))))</f>
        <v/>
      </c>
      <c r="V25" s="26" t="str">
        <f aca="false">IF(U25="","",IF(T25&lt;0,"Pierdes dinero",IF(U25&lt;N(K25),"Por debajo de tu margen","Bien")))</f>
        <v/>
      </c>
    </row>
    <row r="26" customFormat="false" ht="15" hidden="false" customHeight="true" outlineLevel="0" collapsed="false">
      <c r="A26" s="2"/>
      <c r="B26" s="14"/>
      <c r="C26" s="18"/>
      <c r="D26" s="14"/>
      <c r="E26" s="18"/>
      <c r="F26" s="14"/>
      <c r="G26" s="18"/>
      <c r="H26" s="14"/>
      <c r="I26" s="18"/>
      <c r="J26" s="13"/>
      <c r="K26" s="19"/>
      <c r="L26" s="19"/>
      <c r="M26" s="24" t="str">
        <f aca="false">IF(B26="","",IF(OR(D26="",E26=""),0,IFERROR(INDEX('2. Productos'!$F$6:$F$155,MATCH(D26,'2. Productos'!$B$6:$B$155,0))*E26,0))+IF(OR(F26="",G26=""),0,IFERROR(INDEX('2. Productos'!$F$6:$F$155,MATCH(F26,'2. Productos'!$B$6:$B$155,0))*G26,0))+IF(OR(H26="",I26=""),0,IFERROR(INDEX('2. Productos'!$F$6:$F$155,MATCH(H26,'2. Productos'!$B$6:$B$155,0))*I26,0)))</f>
        <v/>
      </c>
      <c r="N26" s="24" t="str">
        <f aca="false">IF(B26="","",N(C26)/60*'1. Costes fijos'!C26)</f>
        <v/>
      </c>
      <c r="O26" s="24" t="str">
        <f aca="false">IF(B26="","",N(C26)/60*'1. Costes fijos'!C28)</f>
        <v/>
      </c>
      <c r="P26" s="16" t="str">
        <f aca="false">IF(B26="","",M26+N26+O26+N(J26))</f>
        <v/>
      </c>
      <c r="Q26" s="16" t="str">
        <f aca="false">IF(B26="","",IF(N(K26)&gt;=1,"Margen &lt; 100%",P26/(1-N(K26))))</f>
        <v/>
      </c>
      <c r="R26" s="16" t="str">
        <f aca="false">IF(OR(B26="",NOT(ISNUMBER(Q26))),"",Q26*(1+N(L26)))</f>
        <v/>
      </c>
      <c r="S26" s="13"/>
      <c r="T26" s="24" t="str">
        <f aca="false">IF(OR(B26="",NOT(ISNUMBER(S26))),"",S26/(1+N(L26))-P26)</f>
        <v/>
      </c>
      <c r="U26" s="25" t="str">
        <f aca="false">IF(OR(B26="",NOT(ISNUMBER(S26)),N(S26)=0),"",T26/(S26/(1+N(L26))))</f>
        <v/>
      </c>
      <c r="V26" s="26" t="str">
        <f aca="false">IF(U26="","",IF(T26&lt;0,"Pierdes dinero",IF(U26&lt;N(K26),"Por debajo de tu margen","Bien")))</f>
        <v/>
      </c>
    </row>
    <row r="27" customFormat="false" ht="15" hidden="false" customHeight="true" outlineLevel="0" collapsed="false">
      <c r="A27" s="2"/>
      <c r="B27" s="14"/>
      <c r="C27" s="18"/>
      <c r="D27" s="14"/>
      <c r="E27" s="18"/>
      <c r="F27" s="14"/>
      <c r="G27" s="18"/>
      <c r="H27" s="14"/>
      <c r="I27" s="18"/>
      <c r="J27" s="13"/>
      <c r="K27" s="19"/>
      <c r="L27" s="19"/>
      <c r="M27" s="24" t="str">
        <f aca="false">IF(B27="","",IF(OR(D27="",E27=""),0,IFERROR(INDEX('2. Productos'!$F$6:$F$155,MATCH(D27,'2. Productos'!$B$6:$B$155,0))*E27,0))+IF(OR(F27="",G27=""),0,IFERROR(INDEX('2. Productos'!$F$6:$F$155,MATCH(F27,'2. Productos'!$B$6:$B$155,0))*G27,0))+IF(OR(H27="",I27=""),0,IFERROR(INDEX('2. Productos'!$F$6:$F$155,MATCH(H27,'2. Productos'!$B$6:$B$155,0))*I27,0)))</f>
        <v/>
      </c>
      <c r="N27" s="24" t="str">
        <f aca="false">IF(B27="","",N(C27)/60*'1. Costes fijos'!C26)</f>
        <v/>
      </c>
      <c r="O27" s="24" t="str">
        <f aca="false">IF(B27="","",N(C27)/60*'1. Costes fijos'!C28)</f>
        <v/>
      </c>
      <c r="P27" s="16" t="str">
        <f aca="false">IF(B27="","",M27+N27+O27+N(J27))</f>
        <v/>
      </c>
      <c r="Q27" s="16" t="str">
        <f aca="false">IF(B27="","",IF(N(K27)&gt;=1,"Margen &lt; 100%",P27/(1-N(K27))))</f>
        <v/>
      </c>
      <c r="R27" s="16" t="str">
        <f aca="false">IF(OR(B27="",NOT(ISNUMBER(Q27))),"",Q27*(1+N(L27)))</f>
        <v/>
      </c>
      <c r="S27" s="13"/>
      <c r="T27" s="24" t="str">
        <f aca="false">IF(OR(B27="",NOT(ISNUMBER(S27))),"",S27/(1+N(L27))-P27)</f>
        <v/>
      </c>
      <c r="U27" s="25" t="str">
        <f aca="false">IF(OR(B27="",NOT(ISNUMBER(S27)),N(S27)=0),"",T27/(S27/(1+N(L27))))</f>
        <v/>
      </c>
      <c r="V27" s="26" t="str">
        <f aca="false">IF(U27="","",IF(T27&lt;0,"Pierdes dinero",IF(U27&lt;N(K27),"Por debajo de tu margen","Bien")))</f>
        <v/>
      </c>
    </row>
    <row r="28" customFormat="false" ht="15" hidden="false" customHeight="true" outlineLevel="0" collapsed="false">
      <c r="A28" s="2"/>
      <c r="B28" s="14"/>
      <c r="C28" s="18"/>
      <c r="D28" s="14"/>
      <c r="E28" s="18"/>
      <c r="F28" s="14"/>
      <c r="G28" s="18"/>
      <c r="H28" s="14"/>
      <c r="I28" s="18"/>
      <c r="J28" s="13"/>
      <c r="K28" s="19"/>
      <c r="L28" s="19"/>
      <c r="M28" s="24" t="str">
        <f aca="false">IF(B28="","",IF(OR(D28="",E28=""),0,IFERROR(INDEX('2. Productos'!$F$6:$F$155,MATCH(D28,'2. Productos'!$B$6:$B$155,0))*E28,0))+IF(OR(F28="",G28=""),0,IFERROR(INDEX('2. Productos'!$F$6:$F$155,MATCH(F28,'2. Productos'!$B$6:$B$155,0))*G28,0))+IF(OR(H28="",I28=""),0,IFERROR(INDEX('2. Productos'!$F$6:$F$155,MATCH(H28,'2. Productos'!$B$6:$B$155,0))*I28,0)))</f>
        <v/>
      </c>
      <c r="N28" s="24" t="str">
        <f aca="false">IF(B28="","",N(C28)/60*'1. Costes fijos'!C26)</f>
        <v/>
      </c>
      <c r="O28" s="24" t="str">
        <f aca="false">IF(B28="","",N(C28)/60*'1. Costes fijos'!C28)</f>
        <v/>
      </c>
      <c r="P28" s="16" t="str">
        <f aca="false">IF(B28="","",M28+N28+O28+N(J28))</f>
        <v/>
      </c>
      <c r="Q28" s="16" t="str">
        <f aca="false">IF(B28="","",IF(N(K28)&gt;=1,"Margen &lt; 100%",P28/(1-N(K28))))</f>
        <v/>
      </c>
      <c r="R28" s="16" t="str">
        <f aca="false">IF(OR(B28="",NOT(ISNUMBER(Q28))),"",Q28*(1+N(L28)))</f>
        <v/>
      </c>
      <c r="S28" s="13"/>
      <c r="T28" s="24" t="str">
        <f aca="false">IF(OR(B28="",NOT(ISNUMBER(S28))),"",S28/(1+N(L28))-P28)</f>
        <v/>
      </c>
      <c r="U28" s="25" t="str">
        <f aca="false">IF(OR(B28="",NOT(ISNUMBER(S28)),N(S28)=0),"",T28/(S28/(1+N(L28))))</f>
        <v/>
      </c>
      <c r="V28" s="26" t="str">
        <f aca="false">IF(U28="","",IF(T28&lt;0,"Pierdes dinero",IF(U28&lt;N(K28),"Por debajo de tu margen","Bien")))</f>
        <v/>
      </c>
    </row>
    <row r="29" customFormat="false" ht="15" hidden="false" customHeight="true" outlineLevel="0" collapsed="false">
      <c r="A29" s="2"/>
      <c r="B29" s="14"/>
      <c r="C29" s="18"/>
      <c r="D29" s="14"/>
      <c r="E29" s="18"/>
      <c r="F29" s="14"/>
      <c r="G29" s="18"/>
      <c r="H29" s="14"/>
      <c r="I29" s="18"/>
      <c r="J29" s="13"/>
      <c r="K29" s="19"/>
      <c r="L29" s="19"/>
      <c r="M29" s="24" t="str">
        <f aca="false">IF(B29="","",IF(OR(D29="",E29=""),0,IFERROR(INDEX('2. Productos'!$F$6:$F$155,MATCH(D29,'2. Productos'!$B$6:$B$155,0))*E29,0))+IF(OR(F29="",G29=""),0,IFERROR(INDEX('2. Productos'!$F$6:$F$155,MATCH(F29,'2. Productos'!$B$6:$B$155,0))*G29,0))+IF(OR(H29="",I29=""),0,IFERROR(INDEX('2. Productos'!$F$6:$F$155,MATCH(H29,'2. Productos'!$B$6:$B$155,0))*I29,0)))</f>
        <v/>
      </c>
      <c r="N29" s="24" t="str">
        <f aca="false">IF(B29="","",N(C29)/60*'1. Costes fijos'!C26)</f>
        <v/>
      </c>
      <c r="O29" s="24" t="str">
        <f aca="false">IF(B29="","",N(C29)/60*'1. Costes fijos'!C28)</f>
        <v/>
      </c>
      <c r="P29" s="16" t="str">
        <f aca="false">IF(B29="","",M29+N29+O29+N(J29))</f>
        <v/>
      </c>
      <c r="Q29" s="16" t="str">
        <f aca="false">IF(B29="","",IF(N(K29)&gt;=1,"Margen &lt; 100%",P29/(1-N(K29))))</f>
        <v/>
      </c>
      <c r="R29" s="16" t="str">
        <f aca="false">IF(OR(B29="",NOT(ISNUMBER(Q29))),"",Q29*(1+N(L29)))</f>
        <v/>
      </c>
      <c r="S29" s="13"/>
      <c r="T29" s="24" t="str">
        <f aca="false">IF(OR(B29="",NOT(ISNUMBER(S29))),"",S29/(1+N(L29))-P29)</f>
        <v/>
      </c>
      <c r="U29" s="25" t="str">
        <f aca="false">IF(OR(B29="",NOT(ISNUMBER(S29)),N(S29)=0),"",T29/(S29/(1+N(L29))))</f>
        <v/>
      </c>
      <c r="V29" s="26" t="str">
        <f aca="false">IF(U29="","",IF(T29&lt;0,"Pierdes dinero",IF(U29&lt;N(K29),"Por debajo de tu margen","Bien")))</f>
        <v/>
      </c>
    </row>
    <row r="30" customFormat="false" ht="15" hidden="false" customHeight="true" outlineLevel="0" collapsed="false">
      <c r="A30" s="2"/>
      <c r="B30" s="14"/>
      <c r="C30" s="18"/>
      <c r="D30" s="14"/>
      <c r="E30" s="18"/>
      <c r="F30" s="14"/>
      <c r="G30" s="18"/>
      <c r="H30" s="14"/>
      <c r="I30" s="18"/>
      <c r="J30" s="13"/>
      <c r="K30" s="19"/>
      <c r="L30" s="19"/>
      <c r="M30" s="24" t="str">
        <f aca="false">IF(B30="","",IF(OR(D30="",E30=""),0,IFERROR(INDEX('2. Productos'!$F$6:$F$155,MATCH(D30,'2. Productos'!$B$6:$B$155,0))*E30,0))+IF(OR(F30="",G30=""),0,IFERROR(INDEX('2. Productos'!$F$6:$F$155,MATCH(F30,'2. Productos'!$B$6:$B$155,0))*G30,0))+IF(OR(H30="",I30=""),0,IFERROR(INDEX('2. Productos'!$F$6:$F$155,MATCH(H30,'2. Productos'!$B$6:$B$155,0))*I30,0)))</f>
        <v/>
      </c>
      <c r="N30" s="24" t="str">
        <f aca="false">IF(B30="","",N(C30)/60*'1. Costes fijos'!C26)</f>
        <v/>
      </c>
      <c r="O30" s="24" t="str">
        <f aca="false">IF(B30="","",N(C30)/60*'1. Costes fijos'!C28)</f>
        <v/>
      </c>
      <c r="P30" s="16" t="str">
        <f aca="false">IF(B30="","",M30+N30+O30+N(J30))</f>
        <v/>
      </c>
      <c r="Q30" s="16" t="str">
        <f aca="false">IF(B30="","",IF(N(K30)&gt;=1,"Margen &lt; 100%",P30/(1-N(K30))))</f>
        <v/>
      </c>
      <c r="R30" s="16" t="str">
        <f aca="false">IF(OR(B30="",NOT(ISNUMBER(Q30))),"",Q30*(1+N(L30)))</f>
        <v/>
      </c>
      <c r="S30" s="13"/>
      <c r="T30" s="24" t="str">
        <f aca="false">IF(OR(B30="",NOT(ISNUMBER(S30))),"",S30/(1+N(L30))-P30)</f>
        <v/>
      </c>
      <c r="U30" s="25" t="str">
        <f aca="false">IF(OR(B30="",NOT(ISNUMBER(S30)),N(S30)=0),"",T30/(S30/(1+N(L30))))</f>
        <v/>
      </c>
      <c r="V30" s="26" t="str">
        <f aca="false">IF(U30="","",IF(T30&lt;0,"Pierdes dinero",IF(U30&lt;N(K30),"Por debajo de tu margen","Bien")))</f>
        <v/>
      </c>
    </row>
    <row r="31" customFormat="false" ht="15" hidden="false" customHeight="true" outlineLevel="0" collapsed="false">
      <c r="A31" s="2"/>
      <c r="B31" s="14"/>
      <c r="C31" s="18"/>
      <c r="D31" s="14"/>
      <c r="E31" s="18"/>
      <c r="F31" s="14"/>
      <c r="G31" s="18"/>
      <c r="H31" s="14"/>
      <c r="I31" s="18"/>
      <c r="J31" s="13"/>
      <c r="K31" s="19"/>
      <c r="L31" s="19"/>
      <c r="M31" s="24" t="str">
        <f aca="false">IF(B31="","",IF(OR(D31="",E31=""),0,IFERROR(INDEX('2. Productos'!$F$6:$F$155,MATCH(D31,'2. Productos'!$B$6:$B$155,0))*E31,0))+IF(OR(F31="",G31=""),0,IFERROR(INDEX('2. Productos'!$F$6:$F$155,MATCH(F31,'2. Productos'!$B$6:$B$155,0))*G31,0))+IF(OR(H31="",I31=""),0,IFERROR(INDEX('2. Productos'!$F$6:$F$155,MATCH(H31,'2. Productos'!$B$6:$B$155,0))*I31,0)))</f>
        <v/>
      </c>
      <c r="N31" s="24" t="str">
        <f aca="false">IF(B31="","",N(C31)/60*'1. Costes fijos'!C26)</f>
        <v/>
      </c>
      <c r="O31" s="24" t="str">
        <f aca="false">IF(B31="","",N(C31)/60*'1. Costes fijos'!C28)</f>
        <v/>
      </c>
      <c r="P31" s="16" t="str">
        <f aca="false">IF(B31="","",M31+N31+O31+N(J31))</f>
        <v/>
      </c>
      <c r="Q31" s="16" t="str">
        <f aca="false">IF(B31="","",IF(N(K31)&gt;=1,"Margen &lt; 100%",P31/(1-N(K31))))</f>
        <v/>
      </c>
      <c r="R31" s="16" t="str">
        <f aca="false">IF(OR(B31="",NOT(ISNUMBER(Q31))),"",Q31*(1+N(L31)))</f>
        <v/>
      </c>
      <c r="S31" s="13"/>
      <c r="T31" s="24" t="str">
        <f aca="false">IF(OR(B31="",NOT(ISNUMBER(S31))),"",S31/(1+N(L31))-P31)</f>
        <v/>
      </c>
      <c r="U31" s="25" t="str">
        <f aca="false">IF(OR(B31="",NOT(ISNUMBER(S31)),N(S31)=0),"",T31/(S31/(1+N(L31))))</f>
        <v/>
      </c>
      <c r="V31" s="26" t="str">
        <f aca="false">IF(U31="","",IF(T31&lt;0,"Pierdes dinero",IF(U31&lt;N(K31),"Por debajo de tu margen","Bien")))</f>
        <v/>
      </c>
    </row>
    <row r="32" customFormat="false" ht="15" hidden="false" customHeight="true" outlineLevel="0" collapsed="false">
      <c r="A32" s="2"/>
      <c r="B32" s="14"/>
      <c r="C32" s="18"/>
      <c r="D32" s="14"/>
      <c r="E32" s="18"/>
      <c r="F32" s="14"/>
      <c r="G32" s="18"/>
      <c r="H32" s="14"/>
      <c r="I32" s="18"/>
      <c r="J32" s="13"/>
      <c r="K32" s="19"/>
      <c r="L32" s="19"/>
      <c r="M32" s="24" t="str">
        <f aca="false">IF(B32="","",IF(OR(D32="",E32=""),0,IFERROR(INDEX('2. Productos'!$F$6:$F$155,MATCH(D32,'2. Productos'!$B$6:$B$155,0))*E32,0))+IF(OR(F32="",G32=""),0,IFERROR(INDEX('2. Productos'!$F$6:$F$155,MATCH(F32,'2. Productos'!$B$6:$B$155,0))*G32,0))+IF(OR(H32="",I32=""),0,IFERROR(INDEX('2. Productos'!$F$6:$F$155,MATCH(H32,'2. Productos'!$B$6:$B$155,0))*I32,0)))</f>
        <v/>
      </c>
      <c r="N32" s="24" t="str">
        <f aca="false">IF(B32="","",N(C32)/60*'1. Costes fijos'!C26)</f>
        <v/>
      </c>
      <c r="O32" s="24" t="str">
        <f aca="false">IF(B32="","",N(C32)/60*'1. Costes fijos'!C28)</f>
        <v/>
      </c>
      <c r="P32" s="16" t="str">
        <f aca="false">IF(B32="","",M32+N32+O32+N(J32))</f>
        <v/>
      </c>
      <c r="Q32" s="16" t="str">
        <f aca="false">IF(B32="","",IF(N(K32)&gt;=1,"Margen &lt; 100%",P32/(1-N(K32))))</f>
        <v/>
      </c>
      <c r="R32" s="16" t="str">
        <f aca="false">IF(OR(B32="",NOT(ISNUMBER(Q32))),"",Q32*(1+N(L32)))</f>
        <v/>
      </c>
      <c r="S32" s="13"/>
      <c r="T32" s="24" t="str">
        <f aca="false">IF(OR(B32="",NOT(ISNUMBER(S32))),"",S32/(1+N(L32))-P32)</f>
        <v/>
      </c>
      <c r="U32" s="25" t="str">
        <f aca="false">IF(OR(B32="",NOT(ISNUMBER(S32)),N(S32)=0),"",T32/(S32/(1+N(L32))))</f>
        <v/>
      </c>
      <c r="V32" s="26" t="str">
        <f aca="false">IF(U32="","",IF(T32&lt;0,"Pierdes dinero",IF(U32&lt;N(K32),"Por debajo de tu margen","Bien")))</f>
        <v/>
      </c>
    </row>
    <row r="33" customFormat="false" ht="15" hidden="false" customHeight="true" outlineLevel="0" collapsed="false">
      <c r="A33" s="2"/>
      <c r="B33" s="14"/>
      <c r="C33" s="18"/>
      <c r="D33" s="14"/>
      <c r="E33" s="18"/>
      <c r="F33" s="14"/>
      <c r="G33" s="18"/>
      <c r="H33" s="14"/>
      <c r="I33" s="18"/>
      <c r="J33" s="13"/>
      <c r="K33" s="19"/>
      <c r="L33" s="19"/>
      <c r="M33" s="24" t="str">
        <f aca="false">IF(B33="","",IF(OR(D33="",E33=""),0,IFERROR(INDEX('2. Productos'!$F$6:$F$155,MATCH(D33,'2. Productos'!$B$6:$B$155,0))*E33,0))+IF(OR(F33="",G33=""),0,IFERROR(INDEX('2. Productos'!$F$6:$F$155,MATCH(F33,'2. Productos'!$B$6:$B$155,0))*G33,0))+IF(OR(H33="",I33=""),0,IFERROR(INDEX('2. Productos'!$F$6:$F$155,MATCH(H33,'2. Productos'!$B$6:$B$155,0))*I33,0)))</f>
        <v/>
      </c>
      <c r="N33" s="24" t="str">
        <f aca="false">IF(B33="","",N(C33)/60*'1. Costes fijos'!C26)</f>
        <v/>
      </c>
      <c r="O33" s="24" t="str">
        <f aca="false">IF(B33="","",N(C33)/60*'1. Costes fijos'!C28)</f>
        <v/>
      </c>
      <c r="P33" s="16" t="str">
        <f aca="false">IF(B33="","",M33+N33+O33+N(J33))</f>
        <v/>
      </c>
      <c r="Q33" s="16" t="str">
        <f aca="false">IF(B33="","",IF(N(K33)&gt;=1,"Margen &lt; 100%",P33/(1-N(K33))))</f>
        <v/>
      </c>
      <c r="R33" s="16" t="str">
        <f aca="false">IF(OR(B33="",NOT(ISNUMBER(Q33))),"",Q33*(1+N(L33)))</f>
        <v/>
      </c>
      <c r="S33" s="13"/>
      <c r="T33" s="24" t="str">
        <f aca="false">IF(OR(B33="",NOT(ISNUMBER(S33))),"",S33/(1+N(L33))-P33)</f>
        <v/>
      </c>
      <c r="U33" s="25" t="str">
        <f aca="false">IF(OR(B33="",NOT(ISNUMBER(S33)),N(S33)=0),"",T33/(S33/(1+N(L33))))</f>
        <v/>
      </c>
      <c r="V33" s="26" t="str">
        <f aca="false">IF(U33="","",IF(T33&lt;0,"Pierdes dinero",IF(U33&lt;N(K33),"Por debajo de tu margen","Bien")))</f>
        <v/>
      </c>
    </row>
    <row r="34" customFormat="false" ht="15" hidden="false" customHeight="true" outlineLevel="0" collapsed="false">
      <c r="A34" s="2"/>
      <c r="B34" s="14"/>
      <c r="C34" s="18"/>
      <c r="D34" s="14"/>
      <c r="E34" s="18"/>
      <c r="F34" s="14"/>
      <c r="G34" s="18"/>
      <c r="H34" s="14"/>
      <c r="I34" s="18"/>
      <c r="J34" s="13"/>
      <c r="K34" s="19"/>
      <c r="L34" s="19"/>
      <c r="M34" s="24" t="str">
        <f aca="false">IF(B34="","",IF(OR(D34="",E34=""),0,IFERROR(INDEX('2. Productos'!$F$6:$F$155,MATCH(D34,'2. Productos'!$B$6:$B$155,0))*E34,0))+IF(OR(F34="",G34=""),0,IFERROR(INDEX('2. Productos'!$F$6:$F$155,MATCH(F34,'2. Productos'!$B$6:$B$155,0))*G34,0))+IF(OR(H34="",I34=""),0,IFERROR(INDEX('2. Productos'!$F$6:$F$155,MATCH(H34,'2. Productos'!$B$6:$B$155,0))*I34,0)))</f>
        <v/>
      </c>
      <c r="N34" s="24" t="str">
        <f aca="false">IF(B34="","",N(C34)/60*'1. Costes fijos'!C26)</f>
        <v/>
      </c>
      <c r="O34" s="24" t="str">
        <f aca="false">IF(B34="","",N(C34)/60*'1. Costes fijos'!C28)</f>
        <v/>
      </c>
      <c r="P34" s="16" t="str">
        <f aca="false">IF(B34="","",M34+N34+O34+N(J34))</f>
        <v/>
      </c>
      <c r="Q34" s="16" t="str">
        <f aca="false">IF(B34="","",IF(N(K34)&gt;=1,"Margen &lt; 100%",P34/(1-N(K34))))</f>
        <v/>
      </c>
      <c r="R34" s="16" t="str">
        <f aca="false">IF(OR(B34="",NOT(ISNUMBER(Q34))),"",Q34*(1+N(L34)))</f>
        <v/>
      </c>
      <c r="S34" s="13"/>
      <c r="T34" s="24" t="str">
        <f aca="false">IF(OR(B34="",NOT(ISNUMBER(S34))),"",S34/(1+N(L34))-P34)</f>
        <v/>
      </c>
      <c r="U34" s="25" t="str">
        <f aca="false">IF(OR(B34="",NOT(ISNUMBER(S34)),N(S34)=0),"",T34/(S34/(1+N(L34))))</f>
        <v/>
      </c>
      <c r="V34" s="26" t="str">
        <f aca="false">IF(U34="","",IF(T34&lt;0,"Pierdes dinero",IF(U34&lt;N(K34),"Por debajo de tu margen","Bien")))</f>
        <v/>
      </c>
    </row>
    <row r="35" customFormat="false" ht="15" hidden="false" customHeight="true" outlineLevel="0" collapsed="false">
      <c r="A35" s="2"/>
      <c r="B35" s="14"/>
      <c r="C35" s="18"/>
      <c r="D35" s="14"/>
      <c r="E35" s="18"/>
      <c r="F35" s="14"/>
      <c r="G35" s="18"/>
      <c r="H35" s="14"/>
      <c r="I35" s="18"/>
      <c r="J35" s="13"/>
      <c r="K35" s="19"/>
      <c r="L35" s="19"/>
      <c r="M35" s="24" t="str">
        <f aca="false">IF(B35="","",IF(OR(D35="",E35=""),0,IFERROR(INDEX('2. Productos'!$F$6:$F$155,MATCH(D35,'2. Productos'!$B$6:$B$155,0))*E35,0))+IF(OR(F35="",G35=""),0,IFERROR(INDEX('2. Productos'!$F$6:$F$155,MATCH(F35,'2. Productos'!$B$6:$B$155,0))*G35,0))+IF(OR(H35="",I35=""),0,IFERROR(INDEX('2. Productos'!$F$6:$F$155,MATCH(H35,'2. Productos'!$B$6:$B$155,0))*I35,0)))</f>
        <v/>
      </c>
      <c r="N35" s="24" t="str">
        <f aca="false">IF(B35="","",N(C35)/60*'1. Costes fijos'!C26)</f>
        <v/>
      </c>
      <c r="O35" s="24" t="str">
        <f aca="false">IF(B35="","",N(C35)/60*'1. Costes fijos'!C28)</f>
        <v/>
      </c>
      <c r="P35" s="16" t="str">
        <f aca="false">IF(B35="","",M35+N35+O35+N(J35))</f>
        <v/>
      </c>
      <c r="Q35" s="16" t="str">
        <f aca="false">IF(B35="","",IF(N(K35)&gt;=1,"Margen &lt; 100%",P35/(1-N(K35))))</f>
        <v/>
      </c>
      <c r="R35" s="16" t="str">
        <f aca="false">IF(OR(B35="",NOT(ISNUMBER(Q35))),"",Q35*(1+N(L35)))</f>
        <v/>
      </c>
      <c r="S35" s="13"/>
      <c r="T35" s="24" t="str">
        <f aca="false">IF(OR(B35="",NOT(ISNUMBER(S35))),"",S35/(1+N(L35))-P35)</f>
        <v/>
      </c>
      <c r="U35" s="25" t="str">
        <f aca="false">IF(OR(B35="",NOT(ISNUMBER(S35)),N(S35)=0),"",T35/(S35/(1+N(L35))))</f>
        <v/>
      </c>
      <c r="V35" s="26" t="str">
        <f aca="false">IF(U35="","",IF(T35&lt;0,"Pierdes dinero",IF(U35&lt;N(K35),"Por debajo de tu margen","Bien")))</f>
        <v/>
      </c>
    </row>
    <row r="36" customFormat="false" ht="15" hidden="false" customHeight="true" outlineLevel="0" collapsed="false">
      <c r="A36" s="2"/>
      <c r="B36" s="14"/>
      <c r="C36" s="18"/>
      <c r="D36" s="14"/>
      <c r="E36" s="18"/>
      <c r="F36" s="14"/>
      <c r="G36" s="18"/>
      <c r="H36" s="14"/>
      <c r="I36" s="18"/>
      <c r="J36" s="13"/>
      <c r="K36" s="19"/>
      <c r="L36" s="19"/>
      <c r="M36" s="24" t="str">
        <f aca="false">IF(B36="","",IF(OR(D36="",E36=""),0,IFERROR(INDEX('2. Productos'!$F$6:$F$155,MATCH(D36,'2. Productos'!$B$6:$B$155,0))*E36,0))+IF(OR(F36="",G36=""),0,IFERROR(INDEX('2. Productos'!$F$6:$F$155,MATCH(F36,'2. Productos'!$B$6:$B$155,0))*G36,0))+IF(OR(H36="",I36=""),0,IFERROR(INDEX('2. Productos'!$F$6:$F$155,MATCH(H36,'2. Productos'!$B$6:$B$155,0))*I36,0)))</f>
        <v/>
      </c>
      <c r="N36" s="24" t="str">
        <f aca="false">IF(B36="","",N(C36)/60*'1. Costes fijos'!C26)</f>
        <v/>
      </c>
      <c r="O36" s="24" t="str">
        <f aca="false">IF(B36="","",N(C36)/60*'1. Costes fijos'!C28)</f>
        <v/>
      </c>
      <c r="P36" s="16" t="str">
        <f aca="false">IF(B36="","",M36+N36+O36+N(J36))</f>
        <v/>
      </c>
      <c r="Q36" s="16" t="str">
        <f aca="false">IF(B36="","",IF(N(K36)&gt;=1,"Margen &lt; 100%",P36/(1-N(K36))))</f>
        <v/>
      </c>
      <c r="R36" s="16" t="str">
        <f aca="false">IF(OR(B36="",NOT(ISNUMBER(Q36))),"",Q36*(1+N(L36)))</f>
        <v/>
      </c>
      <c r="S36" s="13"/>
      <c r="T36" s="24" t="str">
        <f aca="false">IF(OR(B36="",NOT(ISNUMBER(S36))),"",S36/(1+N(L36))-P36)</f>
        <v/>
      </c>
      <c r="U36" s="25" t="str">
        <f aca="false">IF(OR(B36="",NOT(ISNUMBER(S36)),N(S36)=0),"",T36/(S36/(1+N(L36))))</f>
        <v/>
      </c>
      <c r="V36" s="26" t="str">
        <f aca="false">IF(U36="","",IF(T36&lt;0,"Pierdes dinero",IF(U36&lt;N(K36),"Por debajo de tu margen","Bien")))</f>
        <v/>
      </c>
    </row>
    <row r="37" customFormat="false" ht="15" hidden="false" customHeight="true" outlineLevel="0" collapsed="false">
      <c r="A37" s="2"/>
      <c r="B37" s="14"/>
      <c r="C37" s="18"/>
      <c r="D37" s="14"/>
      <c r="E37" s="18"/>
      <c r="F37" s="14"/>
      <c r="G37" s="18"/>
      <c r="H37" s="14"/>
      <c r="I37" s="18"/>
      <c r="J37" s="13"/>
      <c r="K37" s="19"/>
      <c r="L37" s="19"/>
      <c r="M37" s="24" t="str">
        <f aca="false">IF(B37="","",IF(OR(D37="",E37=""),0,IFERROR(INDEX('2. Productos'!$F$6:$F$155,MATCH(D37,'2. Productos'!$B$6:$B$155,0))*E37,0))+IF(OR(F37="",G37=""),0,IFERROR(INDEX('2. Productos'!$F$6:$F$155,MATCH(F37,'2. Productos'!$B$6:$B$155,0))*G37,0))+IF(OR(H37="",I37=""),0,IFERROR(INDEX('2. Productos'!$F$6:$F$155,MATCH(H37,'2. Productos'!$B$6:$B$155,0))*I37,0)))</f>
        <v/>
      </c>
      <c r="N37" s="24" t="str">
        <f aca="false">IF(B37="","",N(C37)/60*'1. Costes fijos'!C26)</f>
        <v/>
      </c>
      <c r="O37" s="24" t="str">
        <f aca="false">IF(B37="","",N(C37)/60*'1. Costes fijos'!C28)</f>
        <v/>
      </c>
      <c r="P37" s="16" t="str">
        <f aca="false">IF(B37="","",M37+N37+O37+N(J37))</f>
        <v/>
      </c>
      <c r="Q37" s="16" t="str">
        <f aca="false">IF(B37="","",IF(N(K37)&gt;=1,"Margen &lt; 100%",P37/(1-N(K37))))</f>
        <v/>
      </c>
      <c r="R37" s="16" t="str">
        <f aca="false">IF(OR(B37="",NOT(ISNUMBER(Q37))),"",Q37*(1+N(L37)))</f>
        <v/>
      </c>
      <c r="S37" s="13"/>
      <c r="T37" s="24" t="str">
        <f aca="false">IF(OR(B37="",NOT(ISNUMBER(S37))),"",S37/(1+N(L37))-P37)</f>
        <v/>
      </c>
      <c r="U37" s="25" t="str">
        <f aca="false">IF(OR(B37="",NOT(ISNUMBER(S37)),N(S37)=0),"",T37/(S37/(1+N(L37))))</f>
        <v/>
      </c>
      <c r="V37" s="26" t="str">
        <f aca="false">IF(U37="","",IF(T37&lt;0,"Pierdes dinero",IF(U37&lt;N(K37),"Por debajo de tu margen","Bien")))</f>
        <v/>
      </c>
    </row>
    <row r="38" customFormat="false" ht="15" hidden="false" customHeight="true" outlineLevel="0" collapsed="false">
      <c r="A38" s="2"/>
      <c r="B38" s="14"/>
      <c r="C38" s="18"/>
      <c r="D38" s="14"/>
      <c r="E38" s="18"/>
      <c r="F38" s="14"/>
      <c r="G38" s="18"/>
      <c r="H38" s="14"/>
      <c r="I38" s="18"/>
      <c r="J38" s="13"/>
      <c r="K38" s="19"/>
      <c r="L38" s="19"/>
      <c r="M38" s="24" t="str">
        <f aca="false">IF(B38="","",IF(OR(D38="",E38=""),0,IFERROR(INDEX('2. Productos'!$F$6:$F$155,MATCH(D38,'2. Productos'!$B$6:$B$155,0))*E38,0))+IF(OR(F38="",G38=""),0,IFERROR(INDEX('2. Productos'!$F$6:$F$155,MATCH(F38,'2. Productos'!$B$6:$B$155,0))*G38,0))+IF(OR(H38="",I38=""),0,IFERROR(INDEX('2. Productos'!$F$6:$F$155,MATCH(H38,'2. Productos'!$B$6:$B$155,0))*I38,0)))</f>
        <v/>
      </c>
      <c r="N38" s="24" t="str">
        <f aca="false">IF(B38="","",N(C38)/60*'1. Costes fijos'!C26)</f>
        <v/>
      </c>
      <c r="O38" s="24" t="str">
        <f aca="false">IF(B38="","",N(C38)/60*'1. Costes fijos'!C28)</f>
        <v/>
      </c>
      <c r="P38" s="16" t="str">
        <f aca="false">IF(B38="","",M38+N38+O38+N(J38))</f>
        <v/>
      </c>
      <c r="Q38" s="16" t="str">
        <f aca="false">IF(B38="","",IF(N(K38)&gt;=1,"Margen &lt; 100%",P38/(1-N(K38))))</f>
        <v/>
      </c>
      <c r="R38" s="16" t="str">
        <f aca="false">IF(OR(B38="",NOT(ISNUMBER(Q38))),"",Q38*(1+N(L38)))</f>
        <v/>
      </c>
      <c r="S38" s="13"/>
      <c r="T38" s="24" t="str">
        <f aca="false">IF(OR(B38="",NOT(ISNUMBER(S38))),"",S38/(1+N(L38))-P38)</f>
        <v/>
      </c>
      <c r="U38" s="25" t="str">
        <f aca="false">IF(OR(B38="",NOT(ISNUMBER(S38)),N(S38)=0),"",T38/(S38/(1+N(L38))))</f>
        <v/>
      </c>
      <c r="V38" s="26" t="str">
        <f aca="false">IF(U38="","",IF(T38&lt;0,"Pierdes dinero",IF(U38&lt;N(K38),"Por debajo de tu margen","Bien")))</f>
        <v/>
      </c>
    </row>
    <row r="39" customFormat="false" ht="15" hidden="false" customHeight="true" outlineLevel="0" collapsed="false">
      <c r="A39" s="2"/>
      <c r="B39" s="14"/>
      <c r="C39" s="18"/>
      <c r="D39" s="14"/>
      <c r="E39" s="18"/>
      <c r="F39" s="14"/>
      <c r="G39" s="18"/>
      <c r="H39" s="14"/>
      <c r="I39" s="18"/>
      <c r="J39" s="13"/>
      <c r="K39" s="19"/>
      <c r="L39" s="19"/>
      <c r="M39" s="24" t="str">
        <f aca="false">IF(B39="","",IF(OR(D39="",E39=""),0,IFERROR(INDEX('2. Productos'!$F$6:$F$155,MATCH(D39,'2. Productos'!$B$6:$B$155,0))*E39,0))+IF(OR(F39="",G39=""),0,IFERROR(INDEX('2. Productos'!$F$6:$F$155,MATCH(F39,'2. Productos'!$B$6:$B$155,0))*G39,0))+IF(OR(H39="",I39=""),0,IFERROR(INDEX('2. Productos'!$F$6:$F$155,MATCH(H39,'2. Productos'!$B$6:$B$155,0))*I39,0)))</f>
        <v/>
      </c>
      <c r="N39" s="24" t="str">
        <f aca="false">IF(B39="","",N(C39)/60*'1. Costes fijos'!C26)</f>
        <v/>
      </c>
      <c r="O39" s="24" t="str">
        <f aca="false">IF(B39="","",N(C39)/60*'1. Costes fijos'!C28)</f>
        <v/>
      </c>
      <c r="P39" s="16" t="str">
        <f aca="false">IF(B39="","",M39+N39+O39+N(J39))</f>
        <v/>
      </c>
      <c r="Q39" s="16" t="str">
        <f aca="false">IF(B39="","",IF(N(K39)&gt;=1,"Margen &lt; 100%",P39/(1-N(K39))))</f>
        <v/>
      </c>
      <c r="R39" s="16" t="str">
        <f aca="false">IF(OR(B39="",NOT(ISNUMBER(Q39))),"",Q39*(1+N(L39)))</f>
        <v/>
      </c>
      <c r="S39" s="13"/>
      <c r="T39" s="24" t="str">
        <f aca="false">IF(OR(B39="",NOT(ISNUMBER(S39))),"",S39/(1+N(L39))-P39)</f>
        <v/>
      </c>
      <c r="U39" s="25" t="str">
        <f aca="false">IF(OR(B39="",NOT(ISNUMBER(S39)),N(S39)=0),"",T39/(S39/(1+N(L39))))</f>
        <v/>
      </c>
      <c r="V39" s="26" t="str">
        <f aca="false">IF(U39="","",IF(T39&lt;0,"Pierdes dinero",IF(U39&lt;N(K39),"Por debajo de tu margen","Bien")))</f>
        <v/>
      </c>
    </row>
    <row r="40" customFormat="false" ht="15" hidden="false" customHeight="true" outlineLevel="0" collapsed="false">
      <c r="A40" s="2"/>
      <c r="B40" s="14"/>
      <c r="C40" s="18"/>
      <c r="D40" s="14"/>
      <c r="E40" s="18"/>
      <c r="F40" s="14"/>
      <c r="G40" s="18"/>
      <c r="H40" s="14"/>
      <c r="I40" s="18"/>
      <c r="J40" s="13"/>
      <c r="K40" s="19"/>
      <c r="L40" s="19"/>
      <c r="M40" s="24" t="str">
        <f aca="false">IF(B40="","",IF(OR(D40="",E40=""),0,IFERROR(INDEX('2. Productos'!$F$6:$F$155,MATCH(D40,'2. Productos'!$B$6:$B$155,0))*E40,0))+IF(OR(F40="",G40=""),0,IFERROR(INDEX('2. Productos'!$F$6:$F$155,MATCH(F40,'2. Productos'!$B$6:$B$155,0))*G40,0))+IF(OR(H40="",I40=""),0,IFERROR(INDEX('2. Productos'!$F$6:$F$155,MATCH(H40,'2. Productos'!$B$6:$B$155,0))*I40,0)))</f>
        <v/>
      </c>
      <c r="N40" s="24" t="str">
        <f aca="false">IF(B40="","",N(C40)/60*'1. Costes fijos'!C26)</f>
        <v/>
      </c>
      <c r="O40" s="24" t="str">
        <f aca="false">IF(B40="","",N(C40)/60*'1. Costes fijos'!C28)</f>
        <v/>
      </c>
      <c r="P40" s="16" t="str">
        <f aca="false">IF(B40="","",M40+N40+O40+N(J40))</f>
        <v/>
      </c>
      <c r="Q40" s="16" t="str">
        <f aca="false">IF(B40="","",IF(N(K40)&gt;=1,"Margen &lt; 100%",P40/(1-N(K40))))</f>
        <v/>
      </c>
      <c r="R40" s="16" t="str">
        <f aca="false">IF(OR(B40="",NOT(ISNUMBER(Q40))),"",Q40*(1+N(L40)))</f>
        <v/>
      </c>
      <c r="S40" s="13"/>
      <c r="T40" s="24" t="str">
        <f aca="false">IF(OR(B40="",NOT(ISNUMBER(S40))),"",S40/(1+N(L40))-P40)</f>
        <v/>
      </c>
      <c r="U40" s="25" t="str">
        <f aca="false">IF(OR(B40="",NOT(ISNUMBER(S40)),N(S40)=0),"",T40/(S40/(1+N(L40))))</f>
        <v/>
      </c>
      <c r="V40" s="26" t="str">
        <f aca="false">IF(U40="","",IF(T40&lt;0,"Pierdes dinero",IF(U40&lt;N(K40),"Por debajo de tu margen","Bien")))</f>
        <v/>
      </c>
    </row>
    <row r="41" customFormat="false" ht="15" hidden="false" customHeight="true" outlineLevel="0" collapsed="false">
      <c r="A41" s="2"/>
      <c r="B41" s="14"/>
      <c r="C41" s="18"/>
      <c r="D41" s="14"/>
      <c r="E41" s="18"/>
      <c r="F41" s="14"/>
      <c r="G41" s="18"/>
      <c r="H41" s="14"/>
      <c r="I41" s="18"/>
      <c r="J41" s="13"/>
      <c r="K41" s="19"/>
      <c r="L41" s="19"/>
      <c r="M41" s="24" t="str">
        <f aca="false">IF(B41="","",IF(OR(D41="",E41=""),0,IFERROR(INDEX('2. Productos'!$F$6:$F$155,MATCH(D41,'2. Productos'!$B$6:$B$155,0))*E41,0))+IF(OR(F41="",G41=""),0,IFERROR(INDEX('2. Productos'!$F$6:$F$155,MATCH(F41,'2. Productos'!$B$6:$B$155,0))*G41,0))+IF(OR(H41="",I41=""),0,IFERROR(INDEX('2. Productos'!$F$6:$F$155,MATCH(H41,'2. Productos'!$B$6:$B$155,0))*I41,0)))</f>
        <v/>
      </c>
      <c r="N41" s="24" t="str">
        <f aca="false">IF(B41="","",N(C41)/60*'1. Costes fijos'!C26)</f>
        <v/>
      </c>
      <c r="O41" s="24" t="str">
        <f aca="false">IF(B41="","",N(C41)/60*'1. Costes fijos'!C28)</f>
        <v/>
      </c>
      <c r="P41" s="16" t="str">
        <f aca="false">IF(B41="","",M41+N41+O41+N(J41))</f>
        <v/>
      </c>
      <c r="Q41" s="16" t="str">
        <f aca="false">IF(B41="","",IF(N(K41)&gt;=1,"Margen &lt; 100%",P41/(1-N(K41))))</f>
        <v/>
      </c>
      <c r="R41" s="16" t="str">
        <f aca="false">IF(OR(B41="",NOT(ISNUMBER(Q41))),"",Q41*(1+N(L41)))</f>
        <v/>
      </c>
      <c r="S41" s="13"/>
      <c r="T41" s="24" t="str">
        <f aca="false">IF(OR(B41="",NOT(ISNUMBER(S41))),"",S41/(1+N(L41))-P41)</f>
        <v/>
      </c>
      <c r="U41" s="25" t="str">
        <f aca="false">IF(OR(B41="",NOT(ISNUMBER(S41)),N(S41)=0),"",T41/(S41/(1+N(L41))))</f>
        <v/>
      </c>
      <c r="V41" s="26" t="str">
        <f aca="false">IF(U41="","",IF(T41&lt;0,"Pierdes dinero",IF(U41&lt;N(K41),"Por debajo de tu margen","Bien")))</f>
        <v/>
      </c>
    </row>
    <row r="42" customFormat="false" ht="15" hidden="false" customHeight="true" outlineLevel="0" collapsed="false">
      <c r="A42" s="2"/>
      <c r="B42" s="14"/>
      <c r="C42" s="18"/>
      <c r="D42" s="14"/>
      <c r="E42" s="18"/>
      <c r="F42" s="14"/>
      <c r="G42" s="18"/>
      <c r="H42" s="14"/>
      <c r="I42" s="18"/>
      <c r="J42" s="13"/>
      <c r="K42" s="19"/>
      <c r="L42" s="19"/>
      <c r="M42" s="24" t="str">
        <f aca="false">IF(B42="","",IF(OR(D42="",E42=""),0,IFERROR(INDEX('2. Productos'!$F$6:$F$155,MATCH(D42,'2. Productos'!$B$6:$B$155,0))*E42,0))+IF(OR(F42="",G42=""),0,IFERROR(INDEX('2. Productos'!$F$6:$F$155,MATCH(F42,'2. Productos'!$B$6:$B$155,0))*G42,0))+IF(OR(H42="",I42=""),0,IFERROR(INDEX('2. Productos'!$F$6:$F$155,MATCH(H42,'2. Productos'!$B$6:$B$155,0))*I42,0)))</f>
        <v/>
      </c>
      <c r="N42" s="24" t="str">
        <f aca="false">IF(B42="","",N(C42)/60*'1. Costes fijos'!C26)</f>
        <v/>
      </c>
      <c r="O42" s="24" t="str">
        <f aca="false">IF(B42="","",N(C42)/60*'1. Costes fijos'!C28)</f>
        <v/>
      </c>
      <c r="P42" s="16" t="str">
        <f aca="false">IF(B42="","",M42+N42+O42+N(J42))</f>
        <v/>
      </c>
      <c r="Q42" s="16" t="str">
        <f aca="false">IF(B42="","",IF(N(K42)&gt;=1,"Margen &lt; 100%",P42/(1-N(K42))))</f>
        <v/>
      </c>
      <c r="R42" s="16" t="str">
        <f aca="false">IF(OR(B42="",NOT(ISNUMBER(Q42))),"",Q42*(1+N(L42)))</f>
        <v/>
      </c>
      <c r="S42" s="13"/>
      <c r="T42" s="24" t="str">
        <f aca="false">IF(OR(B42="",NOT(ISNUMBER(S42))),"",S42/(1+N(L42))-P42)</f>
        <v/>
      </c>
      <c r="U42" s="25" t="str">
        <f aca="false">IF(OR(B42="",NOT(ISNUMBER(S42)),N(S42)=0),"",T42/(S42/(1+N(L42))))</f>
        <v/>
      </c>
      <c r="V42" s="26" t="str">
        <f aca="false">IF(U42="","",IF(T42&lt;0,"Pierdes dinero",IF(U42&lt;N(K42),"Por debajo de tu margen","Bien")))</f>
        <v/>
      </c>
    </row>
    <row r="43" customFormat="false" ht="15" hidden="false" customHeight="true" outlineLevel="0" collapsed="false">
      <c r="A43" s="2"/>
      <c r="B43" s="14"/>
      <c r="C43" s="18"/>
      <c r="D43" s="14"/>
      <c r="E43" s="18"/>
      <c r="F43" s="14"/>
      <c r="G43" s="18"/>
      <c r="H43" s="14"/>
      <c r="I43" s="18"/>
      <c r="J43" s="13"/>
      <c r="K43" s="19"/>
      <c r="L43" s="19"/>
      <c r="M43" s="24" t="str">
        <f aca="false">IF(B43="","",IF(OR(D43="",E43=""),0,IFERROR(INDEX('2. Productos'!$F$6:$F$155,MATCH(D43,'2. Productos'!$B$6:$B$155,0))*E43,0))+IF(OR(F43="",G43=""),0,IFERROR(INDEX('2. Productos'!$F$6:$F$155,MATCH(F43,'2. Productos'!$B$6:$B$155,0))*G43,0))+IF(OR(H43="",I43=""),0,IFERROR(INDEX('2. Productos'!$F$6:$F$155,MATCH(H43,'2. Productos'!$B$6:$B$155,0))*I43,0)))</f>
        <v/>
      </c>
      <c r="N43" s="24" t="str">
        <f aca="false">IF(B43="","",N(C43)/60*'1. Costes fijos'!C26)</f>
        <v/>
      </c>
      <c r="O43" s="24" t="str">
        <f aca="false">IF(B43="","",N(C43)/60*'1. Costes fijos'!C28)</f>
        <v/>
      </c>
      <c r="P43" s="16" t="str">
        <f aca="false">IF(B43="","",M43+N43+O43+N(J43))</f>
        <v/>
      </c>
      <c r="Q43" s="16" t="str">
        <f aca="false">IF(B43="","",IF(N(K43)&gt;=1,"Margen &lt; 100%",P43/(1-N(K43))))</f>
        <v/>
      </c>
      <c r="R43" s="16" t="str">
        <f aca="false">IF(OR(B43="",NOT(ISNUMBER(Q43))),"",Q43*(1+N(L43)))</f>
        <v/>
      </c>
      <c r="S43" s="13"/>
      <c r="T43" s="24" t="str">
        <f aca="false">IF(OR(B43="",NOT(ISNUMBER(S43))),"",S43/(1+N(L43))-P43)</f>
        <v/>
      </c>
      <c r="U43" s="25" t="str">
        <f aca="false">IF(OR(B43="",NOT(ISNUMBER(S43)),N(S43)=0),"",T43/(S43/(1+N(L43))))</f>
        <v/>
      </c>
      <c r="V43" s="26" t="str">
        <f aca="false">IF(U43="","",IF(T43&lt;0,"Pierdes dinero",IF(U43&lt;N(K43),"Por debajo de tu margen","Bien")))</f>
        <v/>
      </c>
    </row>
    <row r="44" customFormat="false" ht="15" hidden="false" customHeight="true" outlineLevel="0" collapsed="false">
      <c r="A44" s="2"/>
      <c r="B44" s="14"/>
      <c r="C44" s="18"/>
      <c r="D44" s="14"/>
      <c r="E44" s="18"/>
      <c r="F44" s="14"/>
      <c r="G44" s="18"/>
      <c r="H44" s="14"/>
      <c r="I44" s="18"/>
      <c r="J44" s="13"/>
      <c r="K44" s="19"/>
      <c r="L44" s="19"/>
      <c r="M44" s="24" t="str">
        <f aca="false">IF(B44="","",IF(OR(D44="",E44=""),0,IFERROR(INDEX('2. Productos'!$F$6:$F$155,MATCH(D44,'2. Productos'!$B$6:$B$155,0))*E44,0))+IF(OR(F44="",G44=""),0,IFERROR(INDEX('2. Productos'!$F$6:$F$155,MATCH(F44,'2. Productos'!$B$6:$B$155,0))*G44,0))+IF(OR(H44="",I44=""),0,IFERROR(INDEX('2. Productos'!$F$6:$F$155,MATCH(H44,'2. Productos'!$B$6:$B$155,0))*I44,0)))</f>
        <v/>
      </c>
      <c r="N44" s="24" t="str">
        <f aca="false">IF(B44="","",N(C44)/60*'1. Costes fijos'!C26)</f>
        <v/>
      </c>
      <c r="O44" s="24" t="str">
        <f aca="false">IF(B44="","",N(C44)/60*'1. Costes fijos'!C28)</f>
        <v/>
      </c>
      <c r="P44" s="16" t="str">
        <f aca="false">IF(B44="","",M44+N44+O44+N(J44))</f>
        <v/>
      </c>
      <c r="Q44" s="16" t="str">
        <f aca="false">IF(B44="","",IF(N(K44)&gt;=1,"Margen &lt; 100%",P44/(1-N(K44))))</f>
        <v/>
      </c>
      <c r="R44" s="16" t="str">
        <f aca="false">IF(OR(B44="",NOT(ISNUMBER(Q44))),"",Q44*(1+N(L44)))</f>
        <v/>
      </c>
      <c r="S44" s="13"/>
      <c r="T44" s="24" t="str">
        <f aca="false">IF(OR(B44="",NOT(ISNUMBER(S44))),"",S44/(1+N(L44))-P44)</f>
        <v/>
      </c>
      <c r="U44" s="25" t="str">
        <f aca="false">IF(OR(B44="",NOT(ISNUMBER(S44)),N(S44)=0),"",T44/(S44/(1+N(L44))))</f>
        <v/>
      </c>
      <c r="V44" s="26" t="str">
        <f aca="false">IF(U44="","",IF(T44&lt;0,"Pierdes dinero",IF(U44&lt;N(K44),"Por debajo de tu margen","Bien")))</f>
        <v/>
      </c>
    </row>
    <row r="45" customFormat="false" ht="15" hidden="false" customHeight="true" outlineLevel="0" collapsed="false">
      <c r="A45" s="2"/>
      <c r="B45" s="14"/>
      <c r="C45" s="18"/>
      <c r="D45" s="14"/>
      <c r="E45" s="18"/>
      <c r="F45" s="14"/>
      <c r="G45" s="18"/>
      <c r="H45" s="14"/>
      <c r="I45" s="18"/>
      <c r="J45" s="13"/>
      <c r="K45" s="19"/>
      <c r="L45" s="19"/>
      <c r="M45" s="24" t="str">
        <f aca="false">IF(B45="","",IF(OR(D45="",E45=""),0,IFERROR(INDEX('2. Productos'!$F$6:$F$155,MATCH(D45,'2. Productos'!$B$6:$B$155,0))*E45,0))+IF(OR(F45="",G45=""),0,IFERROR(INDEX('2. Productos'!$F$6:$F$155,MATCH(F45,'2. Productos'!$B$6:$B$155,0))*G45,0))+IF(OR(H45="",I45=""),0,IFERROR(INDEX('2. Productos'!$F$6:$F$155,MATCH(H45,'2. Productos'!$B$6:$B$155,0))*I45,0)))</f>
        <v/>
      </c>
      <c r="N45" s="24" t="str">
        <f aca="false">IF(B45="","",N(C45)/60*'1. Costes fijos'!C26)</f>
        <v/>
      </c>
      <c r="O45" s="24" t="str">
        <f aca="false">IF(B45="","",N(C45)/60*'1. Costes fijos'!C28)</f>
        <v/>
      </c>
      <c r="P45" s="16" t="str">
        <f aca="false">IF(B45="","",M45+N45+O45+N(J45))</f>
        <v/>
      </c>
      <c r="Q45" s="16" t="str">
        <f aca="false">IF(B45="","",IF(N(K45)&gt;=1,"Margen &lt; 100%",P45/(1-N(K45))))</f>
        <v/>
      </c>
      <c r="R45" s="16" t="str">
        <f aca="false">IF(OR(B45="",NOT(ISNUMBER(Q45))),"",Q45*(1+N(L45)))</f>
        <v/>
      </c>
      <c r="S45" s="13"/>
      <c r="T45" s="24" t="str">
        <f aca="false">IF(OR(B45="",NOT(ISNUMBER(S45))),"",S45/(1+N(L45))-P45)</f>
        <v/>
      </c>
      <c r="U45" s="25" t="str">
        <f aca="false">IF(OR(B45="",NOT(ISNUMBER(S45)),N(S45)=0),"",T45/(S45/(1+N(L45))))</f>
        <v/>
      </c>
      <c r="V45" s="26" t="str">
        <f aca="false">IF(U45="","",IF(T45&lt;0,"Pierdes dinero",IF(U45&lt;N(K45),"Por debajo de tu margen","Bien")))</f>
        <v/>
      </c>
    </row>
    <row r="46" customFormat="false" ht="15" hidden="false" customHeight="true" outlineLevel="0" collapsed="false">
      <c r="A46" s="2"/>
      <c r="B46" s="14"/>
      <c r="C46" s="18"/>
      <c r="D46" s="14"/>
      <c r="E46" s="18"/>
      <c r="F46" s="14"/>
      <c r="G46" s="18"/>
      <c r="H46" s="14"/>
      <c r="I46" s="18"/>
      <c r="J46" s="13"/>
      <c r="K46" s="19"/>
      <c r="L46" s="19"/>
      <c r="M46" s="24" t="str">
        <f aca="false">IF(B46="","",IF(OR(D46="",E46=""),0,IFERROR(INDEX('2. Productos'!$F$6:$F$155,MATCH(D46,'2. Productos'!$B$6:$B$155,0))*E46,0))+IF(OR(F46="",G46=""),0,IFERROR(INDEX('2. Productos'!$F$6:$F$155,MATCH(F46,'2. Productos'!$B$6:$B$155,0))*G46,0))+IF(OR(H46="",I46=""),0,IFERROR(INDEX('2. Productos'!$F$6:$F$155,MATCH(H46,'2. Productos'!$B$6:$B$155,0))*I46,0)))</f>
        <v/>
      </c>
      <c r="N46" s="24" t="str">
        <f aca="false">IF(B46="","",N(C46)/60*'1. Costes fijos'!C26)</f>
        <v/>
      </c>
      <c r="O46" s="24" t="str">
        <f aca="false">IF(B46="","",N(C46)/60*'1. Costes fijos'!C28)</f>
        <v/>
      </c>
      <c r="P46" s="16" t="str">
        <f aca="false">IF(B46="","",M46+N46+O46+N(J46))</f>
        <v/>
      </c>
      <c r="Q46" s="16" t="str">
        <f aca="false">IF(B46="","",IF(N(K46)&gt;=1,"Margen &lt; 100%",P46/(1-N(K46))))</f>
        <v/>
      </c>
      <c r="R46" s="16" t="str">
        <f aca="false">IF(OR(B46="",NOT(ISNUMBER(Q46))),"",Q46*(1+N(L46)))</f>
        <v/>
      </c>
      <c r="S46" s="13"/>
      <c r="T46" s="24" t="str">
        <f aca="false">IF(OR(B46="",NOT(ISNUMBER(S46))),"",S46/(1+N(L46))-P46)</f>
        <v/>
      </c>
      <c r="U46" s="25" t="str">
        <f aca="false">IF(OR(B46="",NOT(ISNUMBER(S46)),N(S46)=0),"",T46/(S46/(1+N(L46))))</f>
        <v/>
      </c>
      <c r="V46" s="26" t="str">
        <f aca="false">IF(U46="","",IF(T46&lt;0,"Pierdes dinero",IF(U46&lt;N(K46),"Por debajo de tu margen","Bien")))</f>
        <v/>
      </c>
    </row>
    <row r="47" customFormat="false" ht="15" hidden="false" customHeight="true" outlineLevel="0" collapsed="false">
      <c r="A47" s="2"/>
      <c r="B47" s="14"/>
      <c r="C47" s="18"/>
      <c r="D47" s="14"/>
      <c r="E47" s="18"/>
      <c r="F47" s="14"/>
      <c r="G47" s="18"/>
      <c r="H47" s="14"/>
      <c r="I47" s="18"/>
      <c r="J47" s="13"/>
      <c r="K47" s="19"/>
      <c r="L47" s="19"/>
      <c r="M47" s="24" t="str">
        <f aca="false">IF(B47="","",IF(OR(D47="",E47=""),0,IFERROR(INDEX('2. Productos'!$F$6:$F$155,MATCH(D47,'2. Productos'!$B$6:$B$155,0))*E47,0))+IF(OR(F47="",G47=""),0,IFERROR(INDEX('2. Productos'!$F$6:$F$155,MATCH(F47,'2. Productos'!$B$6:$B$155,0))*G47,0))+IF(OR(H47="",I47=""),0,IFERROR(INDEX('2. Productos'!$F$6:$F$155,MATCH(H47,'2. Productos'!$B$6:$B$155,0))*I47,0)))</f>
        <v/>
      </c>
      <c r="N47" s="24" t="str">
        <f aca="false">IF(B47="","",N(C47)/60*'1. Costes fijos'!C26)</f>
        <v/>
      </c>
      <c r="O47" s="24" t="str">
        <f aca="false">IF(B47="","",N(C47)/60*'1. Costes fijos'!C28)</f>
        <v/>
      </c>
      <c r="P47" s="16" t="str">
        <f aca="false">IF(B47="","",M47+N47+O47+N(J47))</f>
        <v/>
      </c>
      <c r="Q47" s="16" t="str">
        <f aca="false">IF(B47="","",IF(N(K47)&gt;=1,"Margen &lt; 100%",P47/(1-N(K47))))</f>
        <v/>
      </c>
      <c r="R47" s="16" t="str">
        <f aca="false">IF(OR(B47="",NOT(ISNUMBER(Q47))),"",Q47*(1+N(L47)))</f>
        <v/>
      </c>
      <c r="S47" s="13"/>
      <c r="T47" s="24" t="str">
        <f aca="false">IF(OR(B47="",NOT(ISNUMBER(S47))),"",S47/(1+N(L47))-P47)</f>
        <v/>
      </c>
      <c r="U47" s="25" t="str">
        <f aca="false">IF(OR(B47="",NOT(ISNUMBER(S47)),N(S47)=0),"",T47/(S47/(1+N(L47))))</f>
        <v/>
      </c>
      <c r="V47" s="26" t="str">
        <f aca="false">IF(U47="","",IF(T47&lt;0,"Pierdes dinero",IF(U47&lt;N(K47),"Por debajo de tu margen","Bien")))</f>
        <v/>
      </c>
    </row>
    <row r="48" customFormat="false" ht="15" hidden="false" customHeight="true" outlineLevel="0" collapsed="false">
      <c r="A48" s="2"/>
      <c r="B48" s="14"/>
      <c r="C48" s="18"/>
      <c r="D48" s="14"/>
      <c r="E48" s="18"/>
      <c r="F48" s="14"/>
      <c r="G48" s="18"/>
      <c r="H48" s="14"/>
      <c r="I48" s="18"/>
      <c r="J48" s="13"/>
      <c r="K48" s="19"/>
      <c r="L48" s="19"/>
      <c r="M48" s="24" t="str">
        <f aca="false">IF(B48="","",IF(OR(D48="",E48=""),0,IFERROR(INDEX('2. Productos'!$F$6:$F$155,MATCH(D48,'2. Productos'!$B$6:$B$155,0))*E48,0))+IF(OR(F48="",G48=""),0,IFERROR(INDEX('2. Productos'!$F$6:$F$155,MATCH(F48,'2. Productos'!$B$6:$B$155,0))*G48,0))+IF(OR(H48="",I48=""),0,IFERROR(INDEX('2. Productos'!$F$6:$F$155,MATCH(H48,'2. Productos'!$B$6:$B$155,0))*I48,0)))</f>
        <v/>
      </c>
      <c r="N48" s="24" t="str">
        <f aca="false">IF(B48="","",N(C48)/60*'1. Costes fijos'!C26)</f>
        <v/>
      </c>
      <c r="O48" s="24" t="str">
        <f aca="false">IF(B48="","",N(C48)/60*'1. Costes fijos'!C28)</f>
        <v/>
      </c>
      <c r="P48" s="16" t="str">
        <f aca="false">IF(B48="","",M48+N48+O48+N(J48))</f>
        <v/>
      </c>
      <c r="Q48" s="16" t="str">
        <f aca="false">IF(B48="","",IF(N(K48)&gt;=1,"Margen &lt; 100%",P48/(1-N(K48))))</f>
        <v/>
      </c>
      <c r="R48" s="16" t="str">
        <f aca="false">IF(OR(B48="",NOT(ISNUMBER(Q48))),"",Q48*(1+N(L48)))</f>
        <v/>
      </c>
      <c r="S48" s="13"/>
      <c r="T48" s="24" t="str">
        <f aca="false">IF(OR(B48="",NOT(ISNUMBER(S48))),"",S48/(1+N(L48))-P48)</f>
        <v/>
      </c>
      <c r="U48" s="25" t="str">
        <f aca="false">IF(OR(B48="",NOT(ISNUMBER(S48)),N(S48)=0),"",T48/(S48/(1+N(L48))))</f>
        <v/>
      </c>
      <c r="V48" s="26" t="str">
        <f aca="false">IF(U48="","",IF(T48&lt;0,"Pierdes dinero",IF(U48&lt;N(K48),"Por debajo de tu margen","Bien")))</f>
        <v/>
      </c>
    </row>
    <row r="49" customFormat="false" ht="15" hidden="false" customHeight="true" outlineLevel="0" collapsed="false">
      <c r="A49" s="2"/>
      <c r="B49" s="14"/>
      <c r="C49" s="18"/>
      <c r="D49" s="14"/>
      <c r="E49" s="18"/>
      <c r="F49" s="14"/>
      <c r="G49" s="18"/>
      <c r="H49" s="14"/>
      <c r="I49" s="18"/>
      <c r="J49" s="13"/>
      <c r="K49" s="19"/>
      <c r="L49" s="19"/>
      <c r="M49" s="24" t="str">
        <f aca="false">IF(B49="","",IF(OR(D49="",E49=""),0,IFERROR(INDEX('2. Productos'!$F$6:$F$155,MATCH(D49,'2. Productos'!$B$6:$B$155,0))*E49,0))+IF(OR(F49="",G49=""),0,IFERROR(INDEX('2. Productos'!$F$6:$F$155,MATCH(F49,'2. Productos'!$B$6:$B$155,0))*G49,0))+IF(OR(H49="",I49=""),0,IFERROR(INDEX('2. Productos'!$F$6:$F$155,MATCH(H49,'2. Productos'!$B$6:$B$155,0))*I49,0)))</f>
        <v/>
      </c>
      <c r="N49" s="24" t="str">
        <f aca="false">IF(B49="","",N(C49)/60*'1. Costes fijos'!C26)</f>
        <v/>
      </c>
      <c r="O49" s="24" t="str">
        <f aca="false">IF(B49="","",N(C49)/60*'1. Costes fijos'!C28)</f>
        <v/>
      </c>
      <c r="P49" s="16" t="str">
        <f aca="false">IF(B49="","",M49+N49+O49+N(J49))</f>
        <v/>
      </c>
      <c r="Q49" s="16" t="str">
        <f aca="false">IF(B49="","",IF(N(K49)&gt;=1,"Margen &lt; 100%",P49/(1-N(K49))))</f>
        <v/>
      </c>
      <c r="R49" s="16" t="str">
        <f aca="false">IF(OR(B49="",NOT(ISNUMBER(Q49))),"",Q49*(1+N(L49)))</f>
        <v/>
      </c>
      <c r="S49" s="13"/>
      <c r="T49" s="24" t="str">
        <f aca="false">IF(OR(B49="",NOT(ISNUMBER(S49))),"",S49/(1+N(L49))-P49)</f>
        <v/>
      </c>
      <c r="U49" s="25" t="str">
        <f aca="false">IF(OR(B49="",NOT(ISNUMBER(S49)),N(S49)=0),"",T49/(S49/(1+N(L49))))</f>
        <v/>
      </c>
      <c r="V49" s="26" t="str">
        <f aca="false">IF(U49="","",IF(T49&lt;0,"Pierdes dinero",IF(U49&lt;N(K49),"Por debajo de tu margen","Bien")))</f>
        <v/>
      </c>
    </row>
    <row r="50" customFormat="false" ht="15" hidden="false" customHeight="true" outlineLevel="0" collapsed="false">
      <c r="A50" s="2"/>
      <c r="B50" s="14"/>
      <c r="C50" s="18"/>
      <c r="D50" s="14"/>
      <c r="E50" s="18"/>
      <c r="F50" s="14"/>
      <c r="G50" s="18"/>
      <c r="H50" s="14"/>
      <c r="I50" s="18"/>
      <c r="J50" s="13"/>
      <c r="K50" s="19"/>
      <c r="L50" s="19"/>
      <c r="M50" s="24" t="str">
        <f aca="false">IF(B50="","",IF(OR(D50="",E50=""),0,IFERROR(INDEX('2. Productos'!$F$6:$F$155,MATCH(D50,'2. Productos'!$B$6:$B$155,0))*E50,0))+IF(OR(F50="",G50=""),0,IFERROR(INDEX('2. Productos'!$F$6:$F$155,MATCH(F50,'2. Productos'!$B$6:$B$155,0))*G50,0))+IF(OR(H50="",I50=""),0,IFERROR(INDEX('2. Productos'!$F$6:$F$155,MATCH(H50,'2. Productos'!$B$6:$B$155,0))*I50,0)))</f>
        <v/>
      </c>
      <c r="N50" s="24" t="str">
        <f aca="false">IF(B50="","",N(C50)/60*'1. Costes fijos'!C26)</f>
        <v/>
      </c>
      <c r="O50" s="24" t="str">
        <f aca="false">IF(B50="","",N(C50)/60*'1. Costes fijos'!C28)</f>
        <v/>
      </c>
      <c r="P50" s="16" t="str">
        <f aca="false">IF(B50="","",M50+N50+O50+N(J50))</f>
        <v/>
      </c>
      <c r="Q50" s="16" t="str">
        <f aca="false">IF(B50="","",IF(N(K50)&gt;=1,"Margen &lt; 100%",P50/(1-N(K50))))</f>
        <v/>
      </c>
      <c r="R50" s="16" t="str">
        <f aca="false">IF(OR(B50="",NOT(ISNUMBER(Q50))),"",Q50*(1+N(L50)))</f>
        <v/>
      </c>
      <c r="S50" s="13"/>
      <c r="T50" s="24" t="str">
        <f aca="false">IF(OR(B50="",NOT(ISNUMBER(S50))),"",S50/(1+N(L50))-P50)</f>
        <v/>
      </c>
      <c r="U50" s="25" t="str">
        <f aca="false">IF(OR(B50="",NOT(ISNUMBER(S50)),N(S50)=0),"",T50/(S50/(1+N(L50))))</f>
        <v/>
      </c>
      <c r="V50" s="26" t="str">
        <f aca="false">IF(U50="","",IF(T50&lt;0,"Pierdes dinero",IF(U50&lt;N(K50),"Por debajo de tu margen","Bien")))</f>
        <v/>
      </c>
    </row>
    <row r="51" customFormat="false" ht="15" hidden="false" customHeight="true" outlineLevel="0" collapsed="false">
      <c r="A51" s="2"/>
      <c r="B51" s="14"/>
      <c r="C51" s="18"/>
      <c r="D51" s="14"/>
      <c r="E51" s="18"/>
      <c r="F51" s="14"/>
      <c r="G51" s="18"/>
      <c r="H51" s="14"/>
      <c r="I51" s="18"/>
      <c r="J51" s="13"/>
      <c r="K51" s="19"/>
      <c r="L51" s="19"/>
      <c r="M51" s="24" t="str">
        <f aca="false">IF(B51="","",IF(OR(D51="",E51=""),0,IFERROR(INDEX('2. Productos'!$F$6:$F$155,MATCH(D51,'2. Productos'!$B$6:$B$155,0))*E51,0))+IF(OR(F51="",G51=""),0,IFERROR(INDEX('2. Productos'!$F$6:$F$155,MATCH(F51,'2. Productos'!$B$6:$B$155,0))*G51,0))+IF(OR(H51="",I51=""),0,IFERROR(INDEX('2. Productos'!$F$6:$F$155,MATCH(H51,'2. Productos'!$B$6:$B$155,0))*I51,0)))</f>
        <v/>
      </c>
      <c r="N51" s="24" t="str">
        <f aca="false">IF(B51="","",N(C51)/60*'1. Costes fijos'!C26)</f>
        <v/>
      </c>
      <c r="O51" s="24" t="str">
        <f aca="false">IF(B51="","",N(C51)/60*'1. Costes fijos'!C28)</f>
        <v/>
      </c>
      <c r="P51" s="16" t="str">
        <f aca="false">IF(B51="","",M51+N51+O51+N(J51))</f>
        <v/>
      </c>
      <c r="Q51" s="16" t="str">
        <f aca="false">IF(B51="","",IF(N(K51)&gt;=1,"Margen &lt; 100%",P51/(1-N(K51))))</f>
        <v/>
      </c>
      <c r="R51" s="16" t="str">
        <f aca="false">IF(OR(B51="",NOT(ISNUMBER(Q51))),"",Q51*(1+N(L51)))</f>
        <v/>
      </c>
      <c r="S51" s="13"/>
      <c r="T51" s="24" t="str">
        <f aca="false">IF(OR(B51="",NOT(ISNUMBER(S51))),"",S51/(1+N(L51))-P51)</f>
        <v/>
      </c>
      <c r="U51" s="25" t="str">
        <f aca="false">IF(OR(B51="",NOT(ISNUMBER(S51)),N(S51)=0),"",T51/(S51/(1+N(L51))))</f>
        <v/>
      </c>
      <c r="V51" s="26" t="str">
        <f aca="false">IF(U51="","",IF(T51&lt;0,"Pierdes dinero",IF(U51&lt;N(K51),"Por debajo de tu margen","Bien")))</f>
        <v/>
      </c>
    </row>
    <row r="52" customFormat="false" ht="15" hidden="false" customHeight="true" outlineLevel="0" collapsed="false">
      <c r="A52" s="2"/>
      <c r="B52" s="14"/>
      <c r="C52" s="18"/>
      <c r="D52" s="14"/>
      <c r="E52" s="18"/>
      <c r="F52" s="14"/>
      <c r="G52" s="18"/>
      <c r="H52" s="14"/>
      <c r="I52" s="18"/>
      <c r="J52" s="13"/>
      <c r="K52" s="19"/>
      <c r="L52" s="19"/>
      <c r="M52" s="24" t="str">
        <f aca="false">IF(B52="","",IF(OR(D52="",E52=""),0,IFERROR(INDEX('2. Productos'!$F$6:$F$155,MATCH(D52,'2. Productos'!$B$6:$B$155,0))*E52,0))+IF(OR(F52="",G52=""),0,IFERROR(INDEX('2. Productos'!$F$6:$F$155,MATCH(F52,'2. Productos'!$B$6:$B$155,0))*G52,0))+IF(OR(H52="",I52=""),0,IFERROR(INDEX('2. Productos'!$F$6:$F$155,MATCH(H52,'2. Productos'!$B$6:$B$155,0))*I52,0)))</f>
        <v/>
      </c>
      <c r="N52" s="24" t="str">
        <f aca="false">IF(B52="","",N(C52)/60*'1. Costes fijos'!C26)</f>
        <v/>
      </c>
      <c r="O52" s="24" t="str">
        <f aca="false">IF(B52="","",N(C52)/60*'1. Costes fijos'!C28)</f>
        <v/>
      </c>
      <c r="P52" s="16" t="str">
        <f aca="false">IF(B52="","",M52+N52+O52+N(J52))</f>
        <v/>
      </c>
      <c r="Q52" s="16" t="str">
        <f aca="false">IF(B52="","",IF(N(K52)&gt;=1,"Margen &lt; 100%",P52/(1-N(K52))))</f>
        <v/>
      </c>
      <c r="R52" s="16" t="str">
        <f aca="false">IF(OR(B52="",NOT(ISNUMBER(Q52))),"",Q52*(1+N(L52)))</f>
        <v/>
      </c>
      <c r="S52" s="13"/>
      <c r="T52" s="24" t="str">
        <f aca="false">IF(OR(B52="",NOT(ISNUMBER(S52))),"",S52/(1+N(L52))-P52)</f>
        <v/>
      </c>
      <c r="U52" s="25" t="str">
        <f aca="false">IF(OR(B52="",NOT(ISNUMBER(S52)),N(S52)=0),"",T52/(S52/(1+N(L52))))</f>
        <v/>
      </c>
      <c r="V52" s="26" t="str">
        <f aca="false">IF(U52="","",IF(T52&lt;0,"Pierdes dinero",IF(U52&lt;N(K52),"Por debajo de tu margen","Bien")))</f>
        <v/>
      </c>
    </row>
    <row r="53" customFormat="false" ht="15" hidden="false" customHeight="true" outlineLevel="0" collapsed="false">
      <c r="A53" s="2"/>
      <c r="B53" s="14"/>
      <c r="C53" s="18"/>
      <c r="D53" s="14"/>
      <c r="E53" s="18"/>
      <c r="F53" s="14"/>
      <c r="G53" s="18"/>
      <c r="H53" s="14"/>
      <c r="I53" s="18"/>
      <c r="J53" s="13"/>
      <c r="K53" s="19"/>
      <c r="L53" s="19"/>
      <c r="M53" s="24" t="str">
        <f aca="false">IF(B53="","",IF(OR(D53="",E53=""),0,IFERROR(INDEX('2. Productos'!$F$6:$F$155,MATCH(D53,'2. Productos'!$B$6:$B$155,0))*E53,0))+IF(OR(F53="",G53=""),0,IFERROR(INDEX('2. Productos'!$F$6:$F$155,MATCH(F53,'2. Productos'!$B$6:$B$155,0))*G53,0))+IF(OR(H53="",I53=""),0,IFERROR(INDEX('2. Productos'!$F$6:$F$155,MATCH(H53,'2. Productos'!$B$6:$B$155,0))*I53,0)))</f>
        <v/>
      </c>
      <c r="N53" s="24" t="str">
        <f aca="false">IF(B53="","",N(C53)/60*'1. Costes fijos'!C26)</f>
        <v/>
      </c>
      <c r="O53" s="24" t="str">
        <f aca="false">IF(B53="","",N(C53)/60*'1. Costes fijos'!C28)</f>
        <v/>
      </c>
      <c r="P53" s="16" t="str">
        <f aca="false">IF(B53="","",M53+N53+O53+N(J53))</f>
        <v/>
      </c>
      <c r="Q53" s="16" t="str">
        <f aca="false">IF(B53="","",IF(N(K53)&gt;=1,"Margen &lt; 100%",P53/(1-N(K53))))</f>
        <v/>
      </c>
      <c r="R53" s="16" t="str">
        <f aca="false">IF(OR(B53="",NOT(ISNUMBER(Q53))),"",Q53*(1+N(L53)))</f>
        <v/>
      </c>
      <c r="S53" s="13"/>
      <c r="T53" s="24" t="str">
        <f aca="false">IF(OR(B53="",NOT(ISNUMBER(S53))),"",S53/(1+N(L53))-P53)</f>
        <v/>
      </c>
      <c r="U53" s="25" t="str">
        <f aca="false">IF(OR(B53="",NOT(ISNUMBER(S53)),N(S53)=0),"",T53/(S53/(1+N(L53))))</f>
        <v/>
      </c>
      <c r="V53" s="26" t="str">
        <f aca="false">IF(U53="","",IF(T53&lt;0,"Pierdes dinero",IF(U53&lt;N(K53),"Por debajo de tu margen","Bien")))</f>
        <v/>
      </c>
    </row>
    <row r="54" customFormat="false" ht="15" hidden="false" customHeight="true" outlineLevel="0" collapsed="false">
      <c r="A54" s="2"/>
      <c r="B54" s="14"/>
      <c r="C54" s="18"/>
      <c r="D54" s="14"/>
      <c r="E54" s="18"/>
      <c r="F54" s="14"/>
      <c r="G54" s="18"/>
      <c r="H54" s="14"/>
      <c r="I54" s="18"/>
      <c r="J54" s="13"/>
      <c r="K54" s="19"/>
      <c r="L54" s="19"/>
      <c r="M54" s="24" t="str">
        <f aca="false">IF(B54="","",IF(OR(D54="",E54=""),0,IFERROR(INDEX('2. Productos'!$F$6:$F$155,MATCH(D54,'2. Productos'!$B$6:$B$155,0))*E54,0))+IF(OR(F54="",G54=""),0,IFERROR(INDEX('2. Productos'!$F$6:$F$155,MATCH(F54,'2. Productos'!$B$6:$B$155,0))*G54,0))+IF(OR(H54="",I54=""),0,IFERROR(INDEX('2. Productos'!$F$6:$F$155,MATCH(H54,'2. Productos'!$B$6:$B$155,0))*I54,0)))</f>
        <v/>
      </c>
      <c r="N54" s="24" t="str">
        <f aca="false">IF(B54="","",N(C54)/60*'1. Costes fijos'!C26)</f>
        <v/>
      </c>
      <c r="O54" s="24" t="str">
        <f aca="false">IF(B54="","",N(C54)/60*'1. Costes fijos'!C28)</f>
        <v/>
      </c>
      <c r="P54" s="16" t="str">
        <f aca="false">IF(B54="","",M54+N54+O54+N(J54))</f>
        <v/>
      </c>
      <c r="Q54" s="16" t="str">
        <f aca="false">IF(B54="","",IF(N(K54)&gt;=1,"Margen &lt; 100%",P54/(1-N(K54))))</f>
        <v/>
      </c>
      <c r="R54" s="16" t="str">
        <f aca="false">IF(OR(B54="",NOT(ISNUMBER(Q54))),"",Q54*(1+N(L54)))</f>
        <v/>
      </c>
      <c r="S54" s="13"/>
      <c r="T54" s="24" t="str">
        <f aca="false">IF(OR(B54="",NOT(ISNUMBER(S54))),"",S54/(1+N(L54))-P54)</f>
        <v/>
      </c>
      <c r="U54" s="25" t="str">
        <f aca="false">IF(OR(B54="",NOT(ISNUMBER(S54)),N(S54)=0),"",T54/(S54/(1+N(L54))))</f>
        <v/>
      </c>
      <c r="V54" s="26" t="str">
        <f aca="false">IF(U54="","",IF(T54&lt;0,"Pierdes dinero",IF(U54&lt;N(K54),"Por debajo de tu margen","Bien")))</f>
        <v/>
      </c>
    </row>
    <row r="55" customFormat="false" ht="15" hidden="false" customHeight="true" outlineLevel="0" collapsed="false">
      <c r="A55" s="2"/>
      <c r="B55" s="14"/>
      <c r="C55" s="18"/>
      <c r="D55" s="14"/>
      <c r="E55" s="18"/>
      <c r="F55" s="14"/>
      <c r="G55" s="18"/>
      <c r="H55" s="14"/>
      <c r="I55" s="18"/>
      <c r="J55" s="13"/>
      <c r="K55" s="19"/>
      <c r="L55" s="19"/>
      <c r="M55" s="24" t="str">
        <f aca="false">IF(B55="","",IF(OR(D55="",E55=""),0,IFERROR(INDEX('2. Productos'!$F$6:$F$155,MATCH(D55,'2. Productos'!$B$6:$B$155,0))*E55,0))+IF(OR(F55="",G55=""),0,IFERROR(INDEX('2. Productos'!$F$6:$F$155,MATCH(F55,'2. Productos'!$B$6:$B$155,0))*G55,0))+IF(OR(H55="",I55=""),0,IFERROR(INDEX('2. Productos'!$F$6:$F$155,MATCH(H55,'2. Productos'!$B$6:$B$155,0))*I55,0)))</f>
        <v/>
      </c>
      <c r="N55" s="24" t="str">
        <f aca="false">IF(B55="","",N(C55)/60*'1. Costes fijos'!C26)</f>
        <v/>
      </c>
      <c r="O55" s="24" t="str">
        <f aca="false">IF(B55="","",N(C55)/60*'1. Costes fijos'!C28)</f>
        <v/>
      </c>
      <c r="P55" s="16" t="str">
        <f aca="false">IF(B55="","",M55+N55+O55+N(J55))</f>
        <v/>
      </c>
      <c r="Q55" s="16" t="str">
        <f aca="false">IF(B55="","",IF(N(K55)&gt;=1,"Margen &lt; 100%",P55/(1-N(K55))))</f>
        <v/>
      </c>
      <c r="R55" s="16" t="str">
        <f aca="false">IF(OR(B55="",NOT(ISNUMBER(Q55))),"",Q55*(1+N(L55)))</f>
        <v/>
      </c>
      <c r="S55" s="13"/>
      <c r="T55" s="24" t="str">
        <f aca="false">IF(OR(B55="",NOT(ISNUMBER(S55))),"",S55/(1+N(L55))-P55)</f>
        <v/>
      </c>
      <c r="U55" s="25" t="str">
        <f aca="false">IF(OR(B55="",NOT(ISNUMBER(S55)),N(S55)=0),"",T55/(S55/(1+N(L55))))</f>
        <v/>
      </c>
      <c r="V55" s="26" t="str">
        <f aca="false">IF(U55="","",IF(T55&lt;0,"Pierdes dinero",IF(U55&lt;N(K55),"Por debajo de tu margen","Bien")))</f>
        <v/>
      </c>
    </row>
    <row r="56" customFormat="false" ht="15" hidden="false" customHeight="true" outlineLevel="0" collapsed="false">
      <c r="A56" s="2"/>
      <c r="B56" s="14"/>
      <c r="C56" s="18"/>
      <c r="D56" s="14"/>
      <c r="E56" s="18"/>
      <c r="F56" s="14"/>
      <c r="G56" s="18"/>
      <c r="H56" s="14"/>
      <c r="I56" s="18"/>
      <c r="J56" s="13"/>
      <c r="K56" s="19"/>
      <c r="L56" s="19"/>
      <c r="M56" s="24" t="str">
        <f aca="false">IF(B56="","",IF(OR(D56="",E56=""),0,IFERROR(INDEX('2. Productos'!$F$6:$F$155,MATCH(D56,'2. Productos'!$B$6:$B$155,0))*E56,0))+IF(OR(F56="",G56=""),0,IFERROR(INDEX('2. Productos'!$F$6:$F$155,MATCH(F56,'2. Productos'!$B$6:$B$155,0))*G56,0))+IF(OR(H56="",I56=""),0,IFERROR(INDEX('2. Productos'!$F$6:$F$155,MATCH(H56,'2. Productos'!$B$6:$B$155,0))*I56,0)))</f>
        <v/>
      </c>
      <c r="N56" s="24" t="str">
        <f aca="false">IF(B56="","",N(C56)/60*'1. Costes fijos'!C26)</f>
        <v/>
      </c>
      <c r="O56" s="24" t="str">
        <f aca="false">IF(B56="","",N(C56)/60*'1. Costes fijos'!C28)</f>
        <v/>
      </c>
      <c r="P56" s="16" t="str">
        <f aca="false">IF(B56="","",M56+N56+O56+N(J56))</f>
        <v/>
      </c>
      <c r="Q56" s="16" t="str">
        <f aca="false">IF(B56="","",IF(N(K56)&gt;=1,"Margen &lt; 100%",P56/(1-N(K56))))</f>
        <v/>
      </c>
      <c r="R56" s="16" t="str">
        <f aca="false">IF(OR(B56="",NOT(ISNUMBER(Q56))),"",Q56*(1+N(L56)))</f>
        <v/>
      </c>
      <c r="S56" s="13"/>
      <c r="T56" s="24" t="str">
        <f aca="false">IF(OR(B56="",NOT(ISNUMBER(S56))),"",S56/(1+N(L56))-P56)</f>
        <v/>
      </c>
      <c r="U56" s="25" t="str">
        <f aca="false">IF(OR(B56="",NOT(ISNUMBER(S56)),N(S56)=0),"",T56/(S56/(1+N(L56))))</f>
        <v/>
      </c>
      <c r="V56" s="26" t="str">
        <f aca="false">IF(U56="","",IF(T56&lt;0,"Pierdes dinero",IF(U56&lt;N(K56),"Por debajo de tu margen","Bien")))</f>
        <v/>
      </c>
    </row>
    <row r="57" customFormat="false" ht="15" hidden="false" customHeight="true" outlineLevel="0" collapsed="false">
      <c r="A57" s="2"/>
      <c r="B57" s="14"/>
      <c r="C57" s="18"/>
      <c r="D57" s="14"/>
      <c r="E57" s="18"/>
      <c r="F57" s="14"/>
      <c r="G57" s="18"/>
      <c r="H57" s="14"/>
      <c r="I57" s="18"/>
      <c r="J57" s="13"/>
      <c r="K57" s="19"/>
      <c r="L57" s="19"/>
      <c r="M57" s="24" t="str">
        <f aca="false">IF(B57="","",IF(OR(D57="",E57=""),0,IFERROR(INDEX('2. Productos'!$F$6:$F$155,MATCH(D57,'2. Productos'!$B$6:$B$155,0))*E57,0))+IF(OR(F57="",G57=""),0,IFERROR(INDEX('2. Productos'!$F$6:$F$155,MATCH(F57,'2. Productos'!$B$6:$B$155,0))*G57,0))+IF(OR(H57="",I57=""),0,IFERROR(INDEX('2. Productos'!$F$6:$F$155,MATCH(H57,'2. Productos'!$B$6:$B$155,0))*I57,0)))</f>
        <v/>
      </c>
      <c r="N57" s="24" t="str">
        <f aca="false">IF(B57="","",N(C57)/60*'1. Costes fijos'!C26)</f>
        <v/>
      </c>
      <c r="O57" s="24" t="str">
        <f aca="false">IF(B57="","",N(C57)/60*'1. Costes fijos'!C28)</f>
        <v/>
      </c>
      <c r="P57" s="16" t="str">
        <f aca="false">IF(B57="","",M57+N57+O57+N(J57))</f>
        <v/>
      </c>
      <c r="Q57" s="16" t="str">
        <f aca="false">IF(B57="","",IF(N(K57)&gt;=1,"Margen &lt; 100%",P57/(1-N(K57))))</f>
        <v/>
      </c>
      <c r="R57" s="16" t="str">
        <f aca="false">IF(OR(B57="",NOT(ISNUMBER(Q57))),"",Q57*(1+N(L57)))</f>
        <v/>
      </c>
      <c r="S57" s="13"/>
      <c r="T57" s="24" t="str">
        <f aca="false">IF(OR(B57="",NOT(ISNUMBER(S57))),"",S57/(1+N(L57))-P57)</f>
        <v/>
      </c>
      <c r="U57" s="25" t="str">
        <f aca="false">IF(OR(B57="",NOT(ISNUMBER(S57)),N(S57)=0),"",T57/(S57/(1+N(L57))))</f>
        <v/>
      </c>
      <c r="V57" s="26" t="str">
        <f aca="false">IF(U57="","",IF(T57&lt;0,"Pierdes dinero",IF(U57&lt;N(K57),"Por debajo de tu margen","Bien")))</f>
        <v/>
      </c>
    </row>
    <row r="58" customFormat="false" ht="15" hidden="false" customHeight="true" outlineLevel="0" collapsed="false">
      <c r="A58" s="2"/>
      <c r="B58" s="14"/>
      <c r="C58" s="18"/>
      <c r="D58" s="14"/>
      <c r="E58" s="18"/>
      <c r="F58" s="14"/>
      <c r="G58" s="18"/>
      <c r="H58" s="14"/>
      <c r="I58" s="18"/>
      <c r="J58" s="13"/>
      <c r="K58" s="19"/>
      <c r="L58" s="19"/>
      <c r="M58" s="24" t="str">
        <f aca="false">IF(B58="","",IF(OR(D58="",E58=""),0,IFERROR(INDEX('2. Productos'!$F$6:$F$155,MATCH(D58,'2. Productos'!$B$6:$B$155,0))*E58,0))+IF(OR(F58="",G58=""),0,IFERROR(INDEX('2. Productos'!$F$6:$F$155,MATCH(F58,'2. Productos'!$B$6:$B$155,0))*G58,0))+IF(OR(H58="",I58=""),0,IFERROR(INDEX('2. Productos'!$F$6:$F$155,MATCH(H58,'2. Productos'!$B$6:$B$155,0))*I58,0)))</f>
        <v/>
      </c>
      <c r="N58" s="24" t="str">
        <f aca="false">IF(B58="","",N(C58)/60*'1. Costes fijos'!C26)</f>
        <v/>
      </c>
      <c r="O58" s="24" t="str">
        <f aca="false">IF(B58="","",N(C58)/60*'1. Costes fijos'!C28)</f>
        <v/>
      </c>
      <c r="P58" s="16" t="str">
        <f aca="false">IF(B58="","",M58+N58+O58+N(J58))</f>
        <v/>
      </c>
      <c r="Q58" s="16" t="str">
        <f aca="false">IF(B58="","",IF(N(K58)&gt;=1,"Margen &lt; 100%",P58/(1-N(K58))))</f>
        <v/>
      </c>
      <c r="R58" s="16" t="str">
        <f aca="false">IF(OR(B58="",NOT(ISNUMBER(Q58))),"",Q58*(1+N(L58)))</f>
        <v/>
      </c>
      <c r="S58" s="13"/>
      <c r="T58" s="24" t="str">
        <f aca="false">IF(OR(B58="",NOT(ISNUMBER(S58))),"",S58/(1+N(L58))-P58)</f>
        <v/>
      </c>
      <c r="U58" s="25" t="str">
        <f aca="false">IF(OR(B58="",NOT(ISNUMBER(S58)),N(S58)=0),"",T58/(S58/(1+N(L58))))</f>
        <v/>
      </c>
      <c r="V58" s="26" t="str">
        <f aca="false">IF(U58="","",IF(T58&lt;0,"Pierdes dinero",IF(U58&lt;N(K58),"Por debajo de tu margen","Bien")))</f>
        <v/>
      </c>
    </row>
    <row r="59" customFormat="false" ht="15" hidden="false" customHeight="true" outlineLevel="0" collapsed="false">
      <c r="A59" s="2"/>
      <c r="B59" s="14"/>
      <c r="C59" s="18"/>
      <c r="D59" s="14"/>
      <c r="E59" s="18"/>
      <c r="F59" s="14"/>
      <c r="G59" s="18"/>
      <c r="H59" s="14"/>
      <c r="I59" s="18"/>
      <c r="J59" s="13"/>
      <c r="K59" s="19"/>
      <c r="L59" s="19"/>
      <c r="M59" s="24" t="str">
        <f aca="false">IF(B59="","",IF(OR(D59="",E59=""),0,IFERROR(INDEX('2. Productos'!$F$6:$F$155,MATCH(D59,'2. Productos'!$B$6:$B$155,0))*E59,0))+IF(OR(F59="",G59=""),0,IFERROR(INDEX('2. Productos'!$F$6:$F$155,MATCH(F59,'2. Productos'!$B$6:$B$155,0))*G59,0))+IF(OR(H59="",I59=""),0,IFERROR(INDEX('2. Productos'!$F$6:$F$155,MATCH(H59,'2. Productos'!$B$6:$B$155,0))*I59,0)))</f>
        <v/>
      </c>
      <c r="N59" s="24" t="str">
        <f aca="false">IF(B59="","",N(C59)/60*'1. Costes fijos'!C26)</f>
        <v/>
      </c>
      <c r="O59" s="24" t="str">
        <f aca="false">IF(B59="","",N(C59)/60*'1. Costes fijos'!C28)</f>
        <v/>
      </c>
      <c r="P59" s="16" t="str">
        <f aca="false">IF(B59="","",M59+N59+O59+N(J59))</f>
        <v/>
      </c>
      <c r="Q59" s="16" t="str">
        <f aca="false">IF(B59="","",IF(N(K59)&gt;=1,"Margen &lt; 100%",P59/(1-N(K59))))</f>
        <v/>
      </c>
      <c r="R59" s="16" t="str">
        <f aca="false">IF(OR(B59="",NOT(ISNUMBER(Q59))),"",Q59*(1+N(L59)))</f>
        <v/>
      </c>
      <c r="S59" s="13"/>
      <c r="T59" s="24" t="str">
        <f aca="false">IF(OR(B59="",NOT(ISNUMBER(S59))),"",S59/(1+N(L59))-P59)</f>
        <v/>
      </c>
      <c r="U59" s="25" t="str">
        <f aca="false">IF(OR(B59="",NOT(ISNUMBER(S59)),N(S59)=0),"",T59/(S59/(1+N(L59))))</f>
        <v/>
      </c>
      <c r="V59" s="26" t="str">
        <f aca="false">IF(U59="","",IF(T59&lt;0,"Pierdes dinero",IF(U59&lt;N(K59),"Por debajo de tu margen","Bien")))</f>
        <v/>
      </c>
    </row>
    <row r="60" customFormat="false" ht="15" hidden="false" customHeight="true" outlineLevel="0" collapsed="false">
      <c r="A60" s="2"/>
      <c r="B60" s="14"/>
      <c r="C60" s="18"/>
      <c r="D60" s="14"/>
      <c r="E60" s="18"/>
      <c r="F60" s="14"/>
      <c r="G60" s="18"/>
      <c r="H60" s="14"/>
      <c r="I60" s="18"/>
      <c r="J60" s="13"/>
      <c r="K60" s="19"/>
      <c r="L60" s="19"/>
      <c r="M60" s="24" t="str">
        <f aca="false">IF(B60="","",IF(OR(D60="",E60=""),0,IFERROR(INDEX('2. Productos'!$F$6:$F$155,MATCH(D60,'2. Productos'!$B$6:$B$155,0))*E60,0))+IF(OR(F60="",G60=""),0,IFERROR(INDEX('2. Productos'!$F$6:$F$155,MATCH(F60,'2. Productos'!$B$6:$B$155,0))*G60,0))+IF(OR(H60="",I60=""),0,IFERROR(INDEX('2. Productos'!$F$6:$F$155,MATCH(H60,'2. Productos'!$B$6:$B$155,0))*I60,0)))</f>
        <v/>
      </c>
      <c r="N60" s="24" t="str">
        <f aca="false">IF(B60="","",N(C60)/60*'1. Costes fijos'!C26)</f>
        <v/>
      </c>
      <c r="O60" s="24" t="str">
        <f aca="false">IF(B60="","",N(C60)/60*'1. Costes fijos'!C28)</f>
        <v/>
      </c>
      <c r="P60" s="16" t="str">
        <f aca="false">IF(B60="","",M60+N60+O60+N(J60))</f>
        <v/>
      </c>
      <c r="Q60" s="16" t="str">
        <f aca="false">IF(B60="","",IF(N(K60)&gt;=1,"Margen &lt; 100%",P60/(1-N(K60))))</f>
        <v/>
      </c>
      <c r="R60" s="16" t="str">
        <f aca="false">IF(OR(B60="",NOT(ISNUMBER(Q60))),"",Q60*(1+N(L60)))</f>
        <v/>
      </c>
      <c r="S60" s="13"/>
      <c r="T60" s="24" t="str">
        <f aca="false">IF(OR(B60="",NOT(ISNUMBER(S60))),"",S60/(1+N(L60))-P60)</f>
        <v/>
      </c>
      <c r="U60" s="25" t="str">
        <f aca="false">IF(OR(B60="",NOT(ISNUMBER(S60)),N(S60)=0),"",T60/(S60/(1+N(L60))))</f>
        <v/>
      </c>
      <c r="V60" s="26" t="str">
        <f aca="false">IF(U60="","",IF(T60&lt;0,"Pierdes dinero",IF(U60&lt;N(K60),"Por debajo de tu margen","Bien")))</f>
        <v/>
      </c>
    </row>
    <row r="61" customFormat="false" ht="15" hidden="false" customHeight="true" outlineLevel="0" collapsed="false">
      <c r="A61" s="2"/>
      <c r="B61" s="14"/>
      <c r="C61" s="18"/>
      <c r="D61" s="14"/>
      <c r="E61" s="18"/>
      <c r="F61" s="14"/>
      <c r="G61" s="18"/>
      <c r="H61" s="14"/>
      <c r="I61" s="18"/>
      <c r="J61" s="13"/>
      <c r="K61" s="19"/>
      <c r="L61" s="19"/>
      <c r="M61" s="24" t="str">
        <f aca="false">IF(B61="","",IF(OR(D61="",E61=""),0,IFERROR(INDEX('2. Productos'!$F$6:$F$155,MATCH(D61,'2. Productos'!$B$6:$B$155,0))*E61,0))+IF(OR(F61="",G61=""),0,IFERROR(INDEX('2. Productos'!$F$6:$F$155,MATCH(F61,'2. Productos'!$B$6:$B$155,0))*G61,0))+IF(OR(H61="",I61=""),0,IFERROR(INDEX('2. Productos'!$F$6:$F$155,MATCH(H61,'2. Productos'!$B$6:$B$155,0))*I61,0)))</f>
        <v/>
      </c>
      <c r="N61" s="24" t="str">
        <f aca="false">IF(B61="","",N(C61)/60*'1. Costes fijos'!C26)</f>
        <v/>
      </c>
      <c r="O61" s="24" t="str">
        <f aca="false">IF(B61="","",N(C61)/60*'1. Costes fijos'!C28)</f>
        <v/>
      </c>
      <c r="P61" s="16" t="str">
        <f aca="false">IF(B61="","",M61+N61+O61+N(J61))</f>
        <v/>
      </c>
      <c r="Q61" s="16" t="str">
        <f aca="false">IF(B61="","",IF(N(K61)&gt;=1,"Margen &lt; 100%",P61/(1-N(K61))))</f>
        <v/>
      </c>
      <c r="R61" s="16" t="str">
        <f aca="false">IF(OR(B61="",NOT(ISNUMBER(Q61))),"",Q61*(1+N(L61)))</f>
        <v/>
      </c>
      <c r="S61" s="13"/>
      <c r="T61" s="24" t="str">
        <f aca="false">IF(OR(B61="",NOT(ISNUMBER(S61))),"",S61/(1+N(L61))-P61)</f>
        <v/>
      </c>
      <c r="U61" s="25" t="str">
        <f aca="false">IF(OR(B61="",NOT(ISNUMBER(S61)),N(S61)=0),"",T61/(S61/(1+N(L61))))</f>
        <v/>
      </c>
      <c r="V61" s="26" t="str">
        <f aca="false">IF(U61="","",IF(T61&lt;0,"Pierdes dinero",IF(U61&lt;N(K61),"Por debajo de tu margen","Bien")))</f>
        <v/>
      </c>
    </row>
    <row r="62" customFormat="false" ht="15" hidden="false" customHeight="true" outlineLevel="0" collapsed="false">
      <c r="A62" s="2"/>
      <c r="B62" s="14"/>
      <c r="C62" s="18"/>
      <c r="D62" s="14"/>
      <c r="E62" s="18"/>
      <c r="F62" s="14"/>
      <c r="G62" s="18"/>
      <c r="H62" s="14"/>
      <c r="I62" s="18"/>
      <c r="J62" s="13"/>
      <c r="K62" s="19"/>
      <c r="L62" s="19"/>
      <c r="M62" s="24" t="str">
        <f aca="false">IF(B62="","",IF(OR(D62="",E62=""),0,IFERROR(INDEX('2. Productos'!$F$6:$F$155,MATCH(D62,'2. Productos'!$B$6:$B$155,0))*E62,0))+IF(OR(F62="",G62=""),0,IFERROR(INDEX('2. Productos'!$F$6:$F$155,MATCH(F62,'2. Productos'!$B$6:$B$155,0))*G62,0))+IF(OR(H62="",I62=""),0,IFERROR(INDEX('2. Productos'!$F$6:$F$155,MATCH(H62,'2. Productos'!$B$6:$B$155,0))*I62,0)))</f>
        <v/>
      </c>
      <c r="N62" s="24" t="str">
        <f aca="false">IF(B62="","",N(C62)/60*'1. Costes fijos'!C26)</f>
        <v/>
      </c>
      <c r="O62" s="24" t="str">
        <f aca="false">IF(B62="","",N(C62)/60*'1. Costes fijos'!C28)</f>
        <v/>
      </c>
      <c r="P62" s="16" t="str">
        <f aca="false">IF(B62="","",M62+N62+O62+N(J62))</f>
        <v/>
      </c>
      <c r="Q62" s="16" t="str">
        <f aca="false">IF(B62="","",IF(N(K62)&gt;=1,"Margen &lt; 100%",P62/(1-N(K62))))</f>
        <v/>
      </c>
      <c r="R62" s="16" t="str">
        <f aca="false">IF(OR(B62="",NOT(ISNUMBER(Q62))),"",Q62*(1+N(L62)))</f>
        <v/>
      </c>
      <c r="S62" s="13"/>
      <c r="T62" s="24" t="str">
        <f aca="false">IF(OR(B62="",NOT(ISNUMBER(S62))),"",S62/(1+N(L62))-P62)</f>
        <v/>
      </c>
      <c r="U62" s="25" t="str">
        <f aca="false">IF(OR(B62="",NOT(ISNUMBER(S62)),N(S62)=0),"",T62/(S62/(1+N(L62))))</f>
        <v/>
      </c>
      <c r="V62" s="26" t="str">
        <f aca="false">IF(U62="","",IF(T62&lt;0,"Pierdes dinero",IF(U62&lt;N(K62),"Por debajo de tu margen","Bien")))</f>
        <v/>
      </c>
    </row>
    <row r="63" customFormat="false" ht="15" hidden="false" customHeight="true" outlineLevel="0" collapsed="false">
      <c r="A63" s="2"/>
      <c r="B63" s="14"/>
      <c r="C63" s="18"/>
      <c r="D63" s="14"/>
      <c r="E63" s="18"/>
      <c r="F63" s="14"/>
      <c r="G63" s="18"/>
      <c r="H63" s="14"/>
      <c r="I63" s="18"/>
      <c r="J63" s="13"/>
      <c r="K63" s="19"/>
      <c r="L63" s="19"/>
      <c r="M63" s="24" t="str">
        <f aca="false">IF(B63="","",IF(OR(D63="",E63=""),0,IFERROR(INDEX('2. Productos'!$F$6:$F$155,MATCH(D63,'2. Productos'!$B$6:$B$155,0))*E63,0))+IF(OR(F63="",G63=""),0,IFERROR(INDEX('2. Productos'!$F$6:$F$155,MATCH(F63,'2. Productos'!$B$6:$B$155,0))*G63,0))+IF(OR(H63="",I63=""),0,IFERROR(INDEX('2. Productos'!$F$6:$F$155,MATCH(H63,'2. Productos'!$B$6:$B$155,0))*I63,0)))</f>
        <v/>
      </c>
      <c r="N63" s="24" t="str">
        <f aca="false">IF(B63="","",N(C63)/60*'1. Costes fijos'!C26)</f>
        <v/>
      </c>
      <c r="O63" s="24" t="str">
        <f aca="false">IF(B63="","",N(C63)/60*'1. Costes fijos'!C28)</f>
        <v/>
      </c>
      <c r="P63" s="16" t="str">
        <f aca="false">IF(B63="","",M63+N63+O63+N(J63))</f>
        <v/>
      </c>
      <c r="Q63" s="16" t="str">
        <f aca="false">IF(B63="","",IF(N(K63)&gt;=1,"Margen &lt; 100%",P63/(1-N(K63))))</f>
        <v/>
      </c>
      <c r="R63" s="16" t="str">
        <f aca="false">IF(OR(B63="",NOT(ISNUMBER(Q63))),"",Q63*(1+N(L63)))</f>
        <v/>
      </c>
      <c r="S63" s="13"/>
      <c r="T63" s="24" t="str">
        <f aca="false">IF(OR(B63="",NOT(ISNUMBER(S63))),"",S63/(1+N(L63))-P63)</f>
        <v/>
      </c>
      <c r="U63" s="25" t="str">
        <f aca="false">IF(OR(B63="",NOT(ISNUMBER(S63)),N(S63)=0),"",T63/(S63/(1+N(L63))))</f>
        <v/>
      </c>
      <c r="V63" s="26" t="str">
        <f aca="false">IF(U63="","",IF(T63&lt;0,"Pierdes dinero",IF(U63&lt;N(K63),"Por debajo de tu margen","Bien")))</f>
        <v/>
      </c>
    </row>
    <row r="64" customFormat="false" ht="15" hidden="false" customHeight="true" outlineLevel="0" collapsed="false">
      <c r="A64" s="2"/>
      <c r="B64" s="14"/>
      <c r="C64" s="18"/>
      <c r="D64" s="14"/>
      <c r="E64" s="18"/>
      <c r="F64" s="14"/>
      <c r="G64" s="18"/>
      <c r="H64" s="14"/>
      <c r="I64" s="18"/>
      <c r="J64" s="13"/>
      <c r="K64" s="19"/>
      <c r="L64" s="19"/>
      <c r="M64" s="24" t="str">
        <f aca="false">IF(B64="","",IF(OR(D64="",E64=""),0,IFERROR(INDEX('2. Productos'!$F$6:$F$155,MATCH(D64,'2. Productos'!$B$6:$B$155,0))*E64,0))+IF(OR(F64="",G64=""),0,IFERROR(INDEX('2. Productos'!$F$6:$F$155,MATCH(F64,'2. Productos'!$B$6:$B$155,0))*G64,0))+IF(OR(H64="",I64=""),0,IFERROR(INDEX('2. Productos'!$F$6:$F$155,MATCH(H64,'2. Productos'!$B$6:$B$155,0))*I64,0)))</f>
        <v/>
      </c>
      <c r="N64" s="24" t="str">
        <f aca="false">IF(B64="","",N(C64)/60*'1. Costes fijos'!C26)</f>
        <v/>
      </c>
      <c r="O64" s="24" t="str">
        <f aca="false">IF(B64="","",N(C64)/60*'1. Costes fijos'!C28)</f>
        <v/>
      </c>
      <c r="P64" s="16" t="str">
        <f aca="false">IF(B64="","",M64+N64+O64+N(J64))</f>
        <v/>
      </c>
      <c r="Q64" s="16" t="str">
        <f aca="false">IF(B64="","",IF(N(K64)&gt;=1,"Margen &lt; 100%",P64/(1-N(K64))))</f>
        <v/>
      </c>
      <c r="R64" s="16" t="str">
        <f aca="false">IF(OR(B64="",NOT(ISNUMBER(Q64))),"",Q64*(1+N(L64)))</f>
        <v/>
      </c>
      <c r="S64" s="13"/>
      <c r="T64" s="24" t="str">
        <f aca="false">IF(OR(B64="",NOT(ISNUMBER(S64))),"",S64/(1+N(L64))-P64)</f>
        <v/>
      </c>
      <c r="U64" s="25" t="str">
        <f aca="false">IF(OR(B64="",NOT(ISNUMBER(S64)),N(S64)=0),"",T64/(S64/(1+N(L64))))</f>
        <v/>
      </c>
      <c r="V64" s="26" t="str">
        <f aca="false">IF(U64="","",IF(T64&lt;0,"Pierdes dinero",IF(U64&lt;N(K64),"Por debajo de tu margen","Bien")))</f>
        <v/>
      </c>
    </row>
    <row r="65" customFormat="false" ht="15" hidden="false" customHeight="true" outlineLevel="0" collapsed="false">
      <c r="A65" s="2"/>
      <c r="B65" s="14"/>
      <c r="C65" s="18"/>
      <c r="D65" s="14"/>
      <c r="E65" s="18"/>
      <c r="F65" s="14"/>
      <c r="G65" s="18"/>
      <c r="H65" s="14"/>
      <c r="I65" s="18"/>
      <c r="J65" s="13"/>
      <c r="K65" s="19"/>
      <c r="L65" s="19"/>
      <c r="M65" s="24" t="str">
        <f aca="false">IF(B65="","",IF(OR(D65="",E65=""),0,IFERROR(INDEX('2. Productos'!$F$6:$F$155,MATCH(D65,'2. Productos'!$B$6:$B$155,0))*E65,0))+IF(OR(F65="",G65=""),0,IFERROR(INDEX('2. Productos'!$F$6:$F$155,MATCH(F65,'2. Productos'!$B$6:$B$155,0))*G65,0))+IF(OR(H65="",I65=""),0,IFERROR(INDEX('2. Productos'!$F$6:$F$155,MATCH(H65,'2. Productos'!$B$6:$B$155,0))*I65,0)))</f>
        <v/>
      </c>
      <c r="N65" s="24" t="str">
        <f aca="false">IF(B65="","",N(C65)/60*'1. Costes fijos'!C26)</f>
        <v/>
      </c>
      <c r="O65" s="24" t="str">
        <f aca="false">IF(B65="","",N(C65)/60*'1. Costes fijos'!C28)</f>
        <v/>
      </c>
      <c r="P65" s="16" t="str">
        <f aca="false">IF(B65="","",M65+N65+O65+N(J65))</f>
        <v/>
      </c>
      <c r="Q65" s="16" t="str">
        <f aca="false">IF(B65="","",IF(N(K65)&gt;=1,"Margen &lt; 100%",P65/(1-N(K65))))</f>
        <v/>
      </c>
      <c r="R65" s="16" t="str">
        <f aca="false">IF(OR(B65="",NOT(ISNUMBER(Q65))),"",Q65*(1+N(L65)))</f>
        <v/>
      </c>
      <c r="S65" s="13"/>
      <c r="T65" s="24" t="str">
        <f aca="false">IF(OR(B65="",NOT(ISNUMBER(S65))),"",S65/(1+N(L65))-P65)</f>
        <v/>
      </c>
      <c r="U65" s="25" t="str">
        <f aca="false">IF(OR(B65="",NOT(ISNUMBER(S65)),N(S65)=0),"",T65/(S65/(1+N(L65))))</f>
        <v/>
      </c>
      <c r="V65" s="26" t="str">
        <f aca="false">IF(U65="","",IF(T65&lt;0,"Pierdes dinero",IF(U65&lt;N(K65),"Por debajo de tu margen","Bien")))</f>
        <v/>
      </c>
    </row>
  </sheetData>
  <conditionalFormatting sqref="V6:V65">
    <cfRule type="expression" priority="2" aboveAverage="0" equalAverage="0" bottom="0" percent="0" rank="0" text="" dxfId="0">
      <formula>$V6="Pierdes dinero"</formula>
    </cfRule>
    <cfRule type="expression" priority="3" aboveAverage="0" equalAverage="0" bottom="0" percent="0" rank="0" text="" dxfId="1">
      <formula>$V6="Por debajo de tu margen"</formula>
    </cfRule>
    <cfRule type="expression" priority="4" aboveAverage="0" equalAverage="0" bottom="0" percent="0" rank="0" text="" dxfId="2">
      <formula>$V6="Bien"</formula>
    </cfRule>
  </conditionalFormatting>
  <dataValidations count="1">
    <dataValidation allowBlank="true" errorStyle="stop" operator="between" showDropDown="false" showErrorMessage="false" showInputMessage="false" sqref="D6:D65 F6:F65 H6:H65" type="list">
      <formula1>'2. Productos'!$B$6:$B$155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2026-10-14T09:53:18Z</dcterms:created>
  <dc:creator>openpyxl</dc:creator>
  <dc:description/>
  <dc:language>en-US</dc:language>
  <cp:lastModifiedBy/>
  <dcterms:modified xsi:type="dcterms:W3CDTF">2026-10-14T09:55:49Z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