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financiero 202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Ejemplo: el 75% de las citas son de clientas que ya vinieron antes. Cambia el 0,75 por tu porcentaje real.</t>
        </r>
      </text>
    </comment>
    <comment ref="A9" authorId="0">
      <text>
        <r>
          <rPr>
            <sz val="10"/>
            <rFont val="Arial"/>
            <family val="2"/>
          </rPr>
          <t xml:space="preserve">LTV = ticket medio × 4 visitas. Cambia el 4 por las visitas medias que hace una clienta.</t>
        </r>
      </text>
    </comment>
    <comment ref="A21" authorId="0">
      <text>
        <r>
          <rPr>
            <sz val="10"/>
            <rFont val="Arial"/>
            <family val="2"/>
          </rPr>
          <t xml:space="preserve">Parte de la facturación que es IVA (21/121). Cálculo simplificado: no descuenta el IVA de tus compras, que podrás deducirte.</t>
        </r>
      </text>
    </comment>
    <comment ref="A22" authorId="0">
      <text>
        <r>
          <rPr>
            <sz val="10"/>
            <rFont val="Arial"/>
            <family val="2"/>
          </rPr>
          <t xml:space="preserve">Facturación sin IVA menos todos los gastos. Antes del IRPF o del Impuesto de Sociedades.</t>
        </r>
      </text>
    </comment>
    <comment ref="A27" authorId="0">
      <text>
        <r>
          <rPr>
            <sz val="10"/>
            <rFont val="Arial"/>
            <family val="2"/>
          </rPr>
          <t xml:space="preserve">Suma de la caja de todos los meses hasta este.</t>
        </r>
      </text>
    </comment>
  </commentList>
</comments>
</file>

<file path=xl/sharedStrings.xml><?xml version="1.0" encoding="utf-8"?>
<sst xmlns="http://schemas.openxmlformats.org/spreadsheetml/2006/main" count="40" uniqueCount="40">
  <si>
    <t xml:space="preserve">Esta es una plantilla para que puedas crear un plan financiero anual y hacer un seguimiento mensual de las finanzas de tu centro. Los datos son inventados y te servirán de ejemplo.
Añade la planificación de todo el año 2027 (solo las líneas de color lila) y después, mes a mes, actualiza esas mismas casillas con tus datos reales: el resto se calcula solo. Pon la facturación con IVA y los gastos sin IVA.</t>
  </si>
  <si>
    <t xml:space="preserve">2027</t>
  </si>
  <si>
    <t xml:space="preserve">KPIs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</si>
  <si>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</si>
  <si>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</si>
  <si>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</si>
  <si>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</si>
  <si>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</si>
  <si>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</si>
  <si>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</si>
  <si>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</si>
  <si>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</si>
  <si>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</si>
  <si>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</si>
  <si>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</si>
  <si>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 2027</t>
  </si>
  <si>
    <t xml:space="preserve">Servicios vendidos (citas)</t>
  </si>
  <si>
    <t xml:space="preserve">Citas de clientas que repiten</t>
  </si>
  <si>
    <t xml:space="preserve">Citas de clientas nuevas</t>
  </si>
  <si>
    <t xml:space="preserve">CAC</t>
  </si>
  <si>
    <t xml:space="preserve">Ticket medio</t>
  </si>
  <si>
    <t xml:space="preserve">LTV</t>
  </si>
  <si>
    <t xml:space="preserve">LTV/CAC</t>
  </si>
  <si>
    <t xml:space="preserve">Facturación (con IVA)</t>
  </si>
  <si>
    <t xml:space="preserve">Coste de materiales</t>
  </si>
  <si>
    <t xml:space="preserve">Salarios</t>
  </si>
  <si>
    <t xml:space="preserve">Marketing &amp; Ventas</t>
  </si>
  <si>
    <t xml:space="preserve">Local y suministros</t>
  </si>
  <si>
    <t xml:space="preserve">Legal, gestoría y seguros</t>
  </si>
  <si>
    <t xml:space="preserve">Tecnología</t>
  </si>
  <si>
    <t xml:space="preserve">Otros</t>
  </si>
  <si>
    <t xml:space="preserve">Total gastos (sin IVA)</t>
  </si>
  <si>
    <t xml:space="preserve">Margen tras materiales (sin IVA)</t>
  </si>
  <si>
    <t xml:space="preserve">IVA incluido en la facturación (21%)</t>
  </si>
  <si>
    <t xml:space="preserve">Beneficio antes de impuestos</t>
  </si>
  <si>
    <t xml:space="preserve">Caja del mes (beneficio + inversión)</t>
  </si>
  <si>
    <t xml:space="preserve">Inversión privada</t>
  </si>
  <si>
    <t xml:space="preserve">Inversión pública</t>
  </si>
  <si>
    <t xml:space="preserve">Quema de efectivo mensual</t>
  </si>
  <si>
    <t xml:space="preserve">Caja acumulada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</si>
</sst>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#,##0"/>
    <numFmt numFmtId="167" formatCode="#,##0.00\ [$€-1]"/>
    <numFmt numFmtId="168" formatCode="#,##0\ [$€-1]"/>
    <numFmt numFmtId="169" formatCode="#,##0.0\ [$€-1]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1"/>
      <name val="Arial"/>
      <family val="2"/>
      <charset val="1"/>
    </font>
    <font>
      <u val="single"/>
      <sz val="12"/>
      <color theme="1"/>
      <name val="Arial"/>
      <family val="2"/>
      <charset val="1"/>
    </font>
    <font>
      <b val="true"/>
      <sz val="15"/>
      <color theme="1"/>
      <name val="Arial"/>
      <family val="2"/>
      <charset val="1"/>
    </font>
    <font>
      <b val="true"/>
      <sz val="9"/>
      <color rgb="FF4285F4"/>
      <name val="Arial"/>
      <family val="2"/>
      <charset val="1"/>
    </font>
    <font>
      <sz val="9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9"/>
      <color rgb="FF02021E"/>
      <name val="Arial"/>
      <family val="2"/>
      <charset val="1"/>
    </font>
    <font>
      <sz val="9"/>
      <color rgb="FF4285F4"/>
      <name val="Arial"/>
      <family val="2"/>
      <charset val="1"/>
    </font>
    <font>
      <b val="true"/>
      <i val="true"/>
      <sz val="9"/>
      <color theme="1"/>
      <name val="Arial"/>
      <family val="2"/>
      <charset val="1"/>
    </font>
    <font>
      <sz val="9"/>
      <color rgb="FF02021E"/>
      <name val="Arial"/>
      <family val="2"/>
      <charset val="1"/>
    </font>
    <font>
      <sz val="10"/>
      <name val="Arial"/>
      <family val="2"/>
    </font>
    <font>
      <b val="true"/>
      <sz val="18"/>
      <color rgb="FF757575"/>
      <name val="Arial"/>
      <family val="2"/>
    </font>
    <font>
      <b val="true"/>
      <sz val="14"/>
      <color rgb="FF434343"/>
      <name val="Arial"/>
      <family val="2"/>
    </font>
    <font>
      <sz val="10"/>
      <color rgb="FF000000"/>
      <name val="Arial"/>
      <family val="2"/>
    </font>
    <font>
      <sz val="10"/>
      <color rgb="FF1A1A1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9DAF8"/>
        <bgColor rgb="FFD3E2FC"/>
      </patternFill>
    </fill>
    <fill>
      <patternFill patternType="solid">
        <fgColor rgb="FFEFEFEF"/>
        <bgColor rgb="FFF3F3F3"/>
      </patternFill>
    </fill>
    <fill>
      <patternFill patternType="solid">
        <fgColor rgb="FFD9D2E9"/>
        <bgColor rgb="FFD9D9D9"/>
      </patternFill>
    </fill>
    <fill>
      <patternFill patternType="solid">
        <fgColor rgb="FFFFFFFF"/>
        <bgColor rgb="FFF3F3F3"/>
      </patternFill>
    </fill>
    <fill>
      <patternFill patternType="solid">
        <fgColor rgb="FFCCCCCC"/>
        <bgColor rgb="FFD9D2E9"/>
      </patternFill>
    </fill>
    <fill>
      <patternFill patternType="solid">
        <fgColor rgb="FFF3F3F3"/>
        <bgColor rgb="FFEFEFE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ck">
        <color rgb="FF34A853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8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4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8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10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0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1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7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8" fillId="7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3" fillId="7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3" fillId="7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color rgb="FF6AA84F"/>
      </font>
      <fill>
        <patternFill>
          <bgColor theme="0"/>
        </patternFill>
      </fill>
    </dxf>
    <dxf>
      <font>
        <color rgb="FFCC0000"/>
      </font>
      <fill>
        <patternFill>
          <bgColor theme="0"/>
        </patternFill>
      </fill>
    </dxf>
    <dxf>
      <font>
        <color rgb="FF34A853"/>
      </font>
      <fill>
        <patternFill>
          <bgColor theme="0"/>
        </patternFill>
      </fill>
    </dxf>
    <dxf>
      <font>
        <color rgb="FFEA4335"/>
      </font>
      <fill>
        <patternFill>
          <bgColor theme="0"/>
        </patternFill>
      </fill>
    </dxf>
    <dxf>
      <font>
        <color rgb="FF4285F4"/>
      </font>
      <fill>
        <patternFill>
          <bgColor rgb="FFFFFFFF"/>
        </patternFill>
      </fill>
    </dxf>
    <dxf>
      <font>
        <color rgb="FF4285F4"/>
      </font>
      <fill>
        <patternFill>
          <bgColor theme="0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C00000"/>
      <rgbColor rgb="FF008000"/>
      <rgbColor rgb="FF02021E"/>
      <rgbColor rgb="FF6AA84F"/>
      <rgbColor rgb="FF800080"/>
      <rgbColor rgb="FF008080"/>
      <rgbColor rgb="FFB7B7B7"/>
      <rgbColor rgb="FF757575"/>
      <rgbColor rgb="FFD9D2E9"/>
      <rgbColor rgb="FFEA4335"/>
      <rgbColor rgb="FFF3F3F3"/>
      <rgbColor rgb="FFBBE7EA"/>
      <rgbColor rgb="FF660066"/>
      <rgbColor rgb="FFD9D9D9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E2FC"/>
      <rgbColor rgb="FFEFEFEF"/>
      <rgbColor rgb="FFFDE49B"/>
      <rgbColor rgb="FF96DFAA"/>
      <rgbColor rgb="FFF8C4C0"/>
      <rgbColor rgb="FFCCCCCC"/>
      <rgbColor rgb="FFFFC59A"/>
      <rgbColor rgb="FF4285F4"/>
      <rgbColor rgb="FF46BDC6"/>
      <rgbColor rgb="FF99CC00"/>
      <rgbColor rgb="FFFBBC04"/>
      <rgbColor rgb="FFFF9900"/>
      <rgbColor rgb="FFFF6D01"/>
      <rgbColor rgb="FF666699"/>
      <rgbColor rgb="FF8B8B8B"/>
      <rgbColor rgb="FF003366"/>
      <rgbColor rgb="FF34A853"/>
      <rgbColor rgb="FF003300"/>
      <rgbColor rgb="FF1A1A1A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757575"/>
                </a:solidFill>
                <a:latin typeface="Arial"/>
                <a:ea typeface="Arial"/>
              </a:rPr>
              <a:t>2020 - Accumulated Revenues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Bank result end month</c:v>
                </c:pt>
              </c:strCache>
            </c:strRef>
          </c:tx>
          <c:spPr>
            <a:solidFill>
              <a:srgbClr val="4285f4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#,##0" sourceLinked="0"/>
            <c:txPr>
              <a:bodyPr wrap="square"/>
              <a:lstStyle/>
              <a:p>
                <a:pPr>
                  <a:defRPr b="1" sz="1400" spc="-1" strike="noStrike">
                    <a:solidFill>
                      <a:srgbClr val="434343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0</c:f>
              <c:numCache>
                <c:formatCode>#,##0</c:formatCode>
                <c:ptCount val="6"/>
                <c:pt idx="0">
                  <c:v>95</c:v>
                </c:pt>
                <c:pt idx="1">
                  <c:v>400</c:v>
                </c:pt>
                <c:pt idx="2">
                  <c:v>1000</c:v>
                </c:pt>
                <c:pt idx="3">
                  <c:v>1200</c:v>
                </c:pt>
                <c:pt idx="4">
                  <c:v>3000</c:v>
                </c:pt>
                <c:pt idx="5">
                  <c:v>4000</c:v>
                </c:pt>
              </c:numCache>
            </c:numRef>
          </c:val>
        </c:ser>
        <c:ser>
          <c:idx val="1"/>
          <c:order val="1"/>
          <c:spPr>
            <a:solidFill>
              <a:srgbClr val="ea433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1</c:f>
              <c:numCache>
                <c:formatCode>#,##0</c:formatCode>
                <c:ptCount val="6"/>
                <c:pt idx="0">
                  <c:v>0</c:v>
                </c:pt>
                <c:pt idx="1">
                  <c:v>120</c:v>
                </c:pt>
                <c:pt idx="2">
                  <c:v>300</c:v>
                </c:pt>
                <c:pt idx="3">
                  <c:v>360</c:v>
                </c:pt>
                <c:pt idx="4">
                  <c:v>900</c:v>
                </c:pt>
                <c:pt idx="5">
                  <c:v>1200</c:v>
                </c:pt>
              </c:numCache>
            </c:numRef>
          </c:val>
        </c:ser>
        <c:ser>
          <c:idx val="2"/>
          <c:order val="2"/>
          <c:spPr>
            <a:solidFill>
              <a:srgbClr val="fbbc0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2</c:f>
              <c:numCache>
                <c:formatCode>#,##0</c:formatCode>
                <c:ptCount val="6"/>
                <c:pt idx="0">
                  <c:v>95</c:v>
                </c:pt>
                <c:pt idx="1">
                  <c:v>280</c:v>
                </c:pt>
                <c:pt idx="2">
                  <c:v>700</c:v>
                </c:pt>
                <c:pt idx="3">
                  <c:v>840</c:v>
                </c:pt>
                <c:pt idx="4">
                  <c:v>2100</c:v>
                </c:pt>
                <c:pt idx="5">
                  <c:v>2800</c:v>
                </c:pt>
              </c:numCache>
            </c:numRef>
          </c:val>
        </c:ser>
        <c:ser>
          <c:idx val="3"/>
          <c:order val="3"/>
          <c:spPr>
            <a:solidFill>
              <a:srgbClr val="34a853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3</c:f>
              <c:numCache>
                <c:formatCode>#,##0.00\ [$€-1]</c:formatCode>
                <c:ptCount val="6"/>
                <c:pt idx="0">
                  <c:v>8.42105263157895</c:v>
                </c:pt>
                <c:pt idx="1">
                  <c:v>2.85714285714286</c:v>
                </c:pt>
                <c:pt idx="2">
                  <c:v>1.28571428571429</c:v>
                </c:pt>
                <c:pt idx="3">
                  <c:v>0.158730158730155</c:v>
                </c:pt>
                <c:pt idx="4">
                  <c:v>0.634920634920633</c:v>
                </c:pt>
                <c:pt idx="5">
                  <c:v>0.547619047619047</c:v>
                </c:pt>
              </c:numCache>
            </c:numRef>
          </c:val>
        </c:ser>
        <c:ser>
          <c:idx val="4"/>
          <c:order val="4"/>
          <c:spPr>
            <a:solidFill>
              <a:srgbClr val="ff6d0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4</c:f>
              <c:numCache>
                <c:formatCode>#,##0.00\ [$€-1]</c:formatCode>
                <c:ptCount val="6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25</c:v>
                </c:pt>
                <c:pt idx="5">
                  <c:v>23.2</c:v>
                </c:pt>
              </c:numCache>
            </c:numRef>
          </c:val>
        </c:ser>
        <c:ser>
          <c:idx val="5"/>
          <c:order val="5"/>
          <c:spPr>
            <a:solidFill>
              <a:srgbClr val="46bdc6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5</c:f>
              <c:numCache>
                <c:formatCode>#,##0.00\ [$€-1]</c:formatCode>
                <c:ptCount val="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100</c:v>
                </c:pt>
                <c:pt idx="5">
                  <c:v>92.8</c:v>
                </c:pt>
              </c:numCache>
            </c:numRef>
          </c:val>
        </c:ser>
        <c:ser>
          <c:idx val="6"/>
          <c:order val="6"/>
          <c:spPr>
            <a:solidFill>
              <a:srgbClr val="d3e2fc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6</c:f>
              <c:numCache>
                <c:formatCode>#,##0.00\ [$€-1]</c:formatCode>
                <c:ptCount val="6"/>
                <c:pt idx="0">
                  <c:v>11.875</c:v>
                </c:pt>
                <c:pt idx="1">
                  <c:v>33.6</c:v>
                </c:pt>
                <c:pt idx="2">
                  <c:v>71.5555555555556</c:v>
                </c:pt>
                <c:pt idx="3">
                  <c:v>554.400000000014</c:v>
                </c:pt>
                <c:pt idx="4">
                  <c:v>157.5</c:v>
                </c:pt>
                <c:pt idx="5">
                  <c:v>169.460869565218</c:v>
                </c:pt>
              </c:numCache>
            </c:numRef>
          </c:val>
        </c:ser>
        <c:ser>
          <c:idx val="7"/>
          <c:order val="7"/>
          <c:spPr>
            <a:solidFill>
              <a:srgbClr val="f8c4c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7</c:f>
              <c:numCache>
                <c:formatCode>#,##0\ [$€-1]</c:formatCode>
                <c:ptCount val="6"/>
                <c:pt idx="0">
                  <c:v>2375</c:v>
                </c:pt>
                <c:pt idx="1">
                  <c:v>9600</c:v>
                </c:pt>
                <c:pt idx="2">
                  <c:v>23000</c:v>
                </c:pt>
                <c:pt idx="3">
                  <c:v>26400</c:v>
                </c:pt>
                <c:pt idx="4">
                  <c:v>75000</c:v>
                </c:pt>
                <c:pt idx="5">
                  <c:v>92800</c:v>
                </c:pt>
              </c:numCache>
            </c:numRef>
          </c:val>
        </c:ser>
        <c:ser>
          <c:idx val="8"/>
          <c:order val="8"/>
          <c:spPr>
            <a:solidFill>
              <a:srgbClr val="fde49b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8</c:f>
              <c:numCache>
                <c:formatCode>#,##0\ [$€-1]</c:formatCode>
                <c:ptCount val="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</c:numCache>
            </c:numRef>
          </c:val>
        </c:ser>
        <c:ser>
          <c:idx val="9"/>
          <c:order val="9"/>
          <c:spPr>
            <a:solidFill>
              <a:srgbClr val="96dfaa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9</c:f>
              <c:numCache>
                <c:formatCode>#,##0.00\ [$€-1]</c:formatCode>
                <c:ptCount val="6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</c:numCache>
            </c:numRef>
          </c:val>
        </c:ser>
        <c:ser>
          <c:idx val="10"/>
          <c:order val="10"/>
          <c:spPr>
            <a:solidFill>
              <a:srgbClr val="ffc59a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10</c:f>
              <c:numCache>
                <c:formatCode>#,##0.00\ [$€-1]</c:formatCode>
                <c:ptCount val="6"/>
                <c:pt idx="0">
                  <c:v>800</c:v>
                </c:pt>
                <c:pt idx="1">
                  <c:v>800</c:v>
                </c:pt>
                <c:pt idx="2">
                  <c:v>900</c:v>
                </c:pt>
                <c:pt idx="3">
                  <c:v>133.33333333333</c:v>
                </c:pt>
                <c:pt idx="4">
                  <c:v>1333.33333333333</c:v>
                </c:pt>
                <c:pt idx="5">
                  <c:v>1533.33333333333</c:v>
                </c:pt>
              </c:numCache>
            </c:numRef>
          </c:val>
        </c:ser>
        <c:ser>
          <c:idx val="11"/>
          <c:order val="11"/>
          <c:spPr>
            <a:solidFill>
              <a:srgbClr val="bbe7ea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11</c:f>
              <c:numCache>
                <c:formatCode>#,##0.00\ [$€-1]</c:formatCode>
                <c:ptCount val="6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</c:numCache>
            </c:numRef>
          </c:val>
        </c:ser>
        <c:ser>
          <c:idx val="12"/>
          <c:order val="12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12</c:f>
              <c:numCache>
                <c:formatCode>#,##0.00\ [$€-1]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</c:ser>
        <c:ser>
          <c:idx val="13"/>
          <c:order val="13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13</c:f>
              <c:numCache>
                <c:formatCode>#,##0.00\ [$€-1]</c:formatCode>
                <c:ptCount val="6"/>
                <c:pt idx="0">
                  <c:v>120</c:v>
                </c:pt>
                <c:pt idx="1">
                  <c:v>87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</c:numCache>
            </c:numRef>
          </c:val>
        </c:ser>
        <c:ser>
          <c:idx val="14"/>
          <c:order val="14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14</c:f>
              <c:numCache>
                <c:formatCode>#,##0.00\ [$€-1]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</c:ser>
        <c:ser>
          <c:idx val="15"/>
          <c:order val="15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15</c:f>
              <c:numCache>
                <c:formatCode>#,##0.00\ [$€-1]</c:formatCode>
                <c:ptCount val="6"/>
                <c:pt idx="0">
                  <c:v>4740</c:v>
                </c:pt>
                <c:pt idx="1">
                  <c:v>4707</c:v>
                </c:pt>
                <c:pt idx="2">
                  <c:v>4840</c:v>
                </c:pt>
                <c:pt idx="3">
                  <c:v>4073.33333333333</c:v>
                </c:pt>
                <c:pt idx="4">
                  <c:v>5273.33333333333</c:v>
                </c:pt>
                <c:pt idx="5">
                  <c:v>5473.33333333333</c:v>
                </c:pt>
              </c:numCache>
            </c:numRef>
          </c:val>
        </c:ser>
        <c:ser>
          <c:idx val="16"/>
          <c:order val="16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16</c:f>
              <c:numCache>
                <c:formatCode>#,##0.00\ [$€-1]</c:formatCode>
                <c:ptCount val="6"/>
                <c:pt idx="0">
                  <c:v>-2365</c:v>
                </c:pt>
                <c:pt idx="1">
                  <c:v>4893</c:v>
                </c:pt>
                <c:pt idx="2">
                  <c:v>18160</c:v>
                </c:pt>
                <c:pt idx="3">
                  <c:v>22326.6666666667</c:v>
                </c:pt>
                <c:pt idx="4">
                  <c:v>69726.6666666667</c:v>
                </c:pt>
                <c:pt idx="5">
                  <c:v>87326.6666666667</c:v>
                </c:pt>
              </c:numCache>
            </c:numRef>
          </c:val>
        </c:ser>
        <c:ser>
          <c:idx val="17"/>
          <c:order val="17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17</c:f>
              <c:numCache>
                <c:formatCode>#,##0.00\ [$€-1]</c:formatCode>
                <c:ptCount val="6"/>
                <c:pt idx="0">
                  <c:v>498.75</c:v>
                </c:pt>
                <c:pt idx="1">
                  <c:v>2016</c:v>
                </c:pt>
                <c:pt idx="2">
                  <c:v>4830</c:v>
                </c:pt>
                <c:pt idx="3">
                  <c:v>5544</c:v>
                </c:pt>
                <c:pt idx="4">
                  <c:v>15750</c:v>
                </c:pt>
                <c:pt idx="5">
                  <c:v>19488</c:v>
                </c:pt>
              </c:numCache>
            </c:numRef>
          </c:val>
        </c:ser>
        <c:ser>
          <c:idx val="18"/>
          <c:order val="18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18</c:f>
              <c:numCache>
                <c:formatCode>#,##0.0\ [$€-1]</c:formatCode>
                <c:ptCount val="6"/>
                <c:pt idx="0">
                  <c:v>-7105</c:v>
                </c:pt>
                <c:pt idx="1">
                  <c:v>186</c:v>
                </c:pt>
                <c:pt idx="2">
                  <c:v>13320</c:v>
                </c:pt>
                <c:pt idx="3">
                  <c:v>18253.3333333333</c:v>
                </c:pt>
                <c:pt idx="4">
                  <c:v>64453.3333333333</c:v>
                </c:pt>
                <c:pt idx="5">
                  <c:v>81853.3333333333</c:v>
                </c:pt>
              </c:numCache>
            </c:numRef>
          </c:val>
        </c:ser>
        <c:ser>
          <c:idx val="19"/>
          <c:order val="19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19</c:f>
              <c:numCache>
                <c:formatCode>#,##0.00\ [$€-1]</c:formatCode>
                <c:ptCount val="6"/>
                <c:pt idx="0">
                  <c:v>-57603.75</c:v>
                </c:pt>
                <c:pt idx="1">
                  <c:v>-1830</c:v>
                </c:pt>
                <c:pt idx="2">
                  <c:v>8490</c:v>
                </c:pt>
                <c:pt idx="3">
                  <c:v>12709.3333333333</c:v>
                </c:pt>
                <c:pt idx="4">
                  <c:v>48703.3333333333</c:v>
                </c:pt>
                <c:pt idx="5">
                  <c:v>62365.3333333333</c:v>
                </c:pt>
              </c:numCache>
            </c:numRef>
          </c:val>
        </c:ser>
        <c:ser>
          <c:idx val="20"/>
          <c:order val="20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20</c:f>
              <c:numCache>
                <c:formatCode>#,##0.00\ [$€-1]</c:formatCode>
                <c:ptCount val="6"/>
                <c:pt idx="0">
                  <c:v>50000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1"/>
          <c:order val="21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21</c:f>
              <c:numCache>
                <c:formatCode>#,##0.00\ [$€-1]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2"/>
          <c:order val="22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22</c:f>
              <c:numCache>
                <c:formatCode>#,##0.00\ [$€-1]</c:formatCode>
                <c:ptCount val="6"/>
                <c:pt idx="0">
                  <c:v>-7105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3"/>
          <c:order val="23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23</c:f>
              <c:numCache>
                <c:formatCode>#,##0</c:formatCode>
                <c:ptCount val="6"/>
                <c:pt idx="0">
                  <c:v>95</c:v>
                </c:pt>
                <c:pt idx="1">
                  <c:v>400</c:v>
                </c:pt>
                <c:pt idx="2">
                  <c:v>1000</c:v>
                </c:pt>
                <c:pt idx="3">
                  <c:v>1200</c:v>
                </c:pt>
                <c:pt idx="4">
                  <c:v>3000</c:v>
                </c:pt>
                <c:pt idx="5">
                  <c:v>4000</c:v>
                </c:pt>
              </c:numCache>
            </c:numRef>
          </c:val>
        </c:ser>
        <c:ser>
          <c:idx val="24"/>
          <c:order val="24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24</c:f>
              <c:numCache>
                <c:formatCode>#,##0</c:formatCode>
                <c:ptCount val="6"/>
                <c:pt idx="0">
                  <c:v>0</c:v>
                </c:pt>
                <c:pt idx="1">
                  <c:v>120</c:v>
                </c:pt>
                <c:pt idx="2">
                  <c:v>300</c:v>
                </c:pt>
                <c:pt idx="3">
                  <c:v>360</c:v>
                </c:pt>
                <c:pt idx="4">
                  <c:v>900</c:v>
                </c:pt>
                <c:pt idx="5">
                  <c:v>1200</c:v>
                </c:pt>
              </c:numCache>
            </c:numRef>
          </c:val>
        </c:ser>
        <c:ser>
          <c:idx val="25"/>
          <c:order val="25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25</c:f>
              <c:numCache>
                <c:formatCode>#,##0</c:formatCode>
                <c:ptCount val="6"/>
                <c:pt idx="0">
                  <c:v>95</c:v>
                </c:pt>
                <c:pt idx="1">
                  <c:v>280</c:v>
                </c:pt>
                <c:pt idx="2">
                  <c:v>700</c:v>
                </c:pt>
                <c:pt idx="3">
                  <c:v>840</c:v>
                </c:pt>
                <c:pt idx="4">
                  <c:v>2100</c:v>
                </c:pt>
                <c:pt idx="5">
                  <c:v>2800</c:v>
                </c:pt>
              </c:numCache>
            </c:numRef>
          </c:val>
        </c:ser>
        <c:ser>
          <c:idx val="26"/>
          <c:order val="26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26</c:f>
              <c:numCache>
                <c:formatCode>#,##0.00\ [$€-1]</c:formatCode>
                <c:ptCount val="6"/>
                <c:pt idx="0">
                  <c:v>8.42105263157895</c:v>
                </c:pt>
                <c:pt idx="1">
                  <c:v>2.85714285714286</c:v>
                </c:pt>
                <c:pt idx="2">
                  <c:v>1.28571428571429</c:v>
                </c:pt>
                <c:pt idx="3">
                  <c:v>0.158730158730155</c:v>
                </c:pt>
                <c:pt idx="4">
                  <c:v>0.634920634920633</c:v>
                </c:pt>
                <c:pt idx="5">
                  <c:v>0.547619047619047</c:v>
                </c:pt>
              </c:numCache>
            </c:numRef>
          </c:val>
        </c:ser>
        <c:ser>
          <c:idx val="27"/>
          <c:order val="27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27</c:f>
              <c:numCache>
                <c:formatCode>#,##0.00\ [$€-1]</c:formatCode>
                <c:ptCount val="6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25</c:v>
                </c:pt>
                <c:pt idx="5">
                  <c:v>23.2</c:v>
                </c:pt>
              </c:numCache>
            </c:numRef>
          </c:val>
        </c:ser>
        <c:ser>
          <c:idx val="28"/>
          <c:order val="28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28</c:f>
              <c:numCache>
                <c:formatCode>#,##0.00\ [$€-1]</c:formatCode>
                <c:ptCount val="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100</c:v>
                </c:pt>
                <c:pt idx="5">
                  <c:v>92.8</c:v>
                </c:pt>
              </c:numCache>
            </c:numRef>
          </c:val>
        </c:ser>
        <c:ser>
          <c:idx val="29"/>
          <c:order val="29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29</c:f>
              <c:numCache>
                <c:formatCode>#,##0.00\ [$€-1]</c:formatCode>
                <c:ptCount val="6"/>
                <c:pt idx="0">
                  <c:v>11.875</c:v>
                </c:pt>
                <c:pt idx="1">
                  <c:v>33.6</c:v>
                </c:pt>
                <c:pt idx="2">
                  <c:v>71.5555555555556</c:v>
                </c:pt>
                <c:pt idx="3">
                  <c:v>554.400000000014</c:v>
                </c:pt>
                <c:pt idx="4">
                  <c:v>157.5</c:v>
                </c:pt>
                <c:pt idx="5">
                  <c:v>169.460869565218</c:v>
                </c:pt>
              </c:numCache>
            </c:numRef>
          </c:val>
        </c:ser>
        <c:ser>
          <c:idx val="30"/>
          <c:order val="30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30</c:f>
              <c:numCache>
                <c:formatCode>#,##0\ [$€-1]</c:formatCode>
                <c:ptCount val="6"/>
                <c:pt idx="0">
                  <c:v>2375</c:v>
                </c:pt>
                <c:pt idx="1">
                  <c:v>9600</c:v>
                </c:pt>
                <c:pt idx="2">
                  <c:v>23000</c:v>
                </c:pt>
                <c:pt idx="3">
                  <c:v>26400</c:v>
                </c:pt>
                <c:pt idx="4">
                  <c:v>75000</c:v>
                </c:pt>
                <c:pt idx="5">
                  <c:v>92800</c:v>
                </c:pt>
              </c:numCache>
            </c:numRef>
          </c:val>
        </c:ser>
        <c:ser>
          <c:idx val="31"/>
          <c:order val="31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31</c:f>
              <c:numCache>
                <c:formatCode>#,##0\ [$€-1]</c:formatCode>
                <c:ptCount val="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</c:numCache>
            </c:numRef>
          </c:val>
        </c:ser>
        <c:ser>
          <c:idx val="32"/>
          <c:order val="32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32</c:f>
              <c:numCache>
                <c:formatCode>#,##0.00\ [$€-1]</c:formatCode>
                <c:ptCount val="6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</c:numCache>
            </c:numRef>
          </c:val>
        </c:ser>
        <c:ser>
          <c:idx val="33"/>
          <c:order val="33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33</c:f>
              <c:numCache>
                <c:formatCode>#,##0.00\ [$€-1]</c:formatCode>
                <c:ptCount val="6"/>
                <c:pt idx="0">
                  <c:v>800</c:v>
                </c:pt>
                <c:pt idx="1">
                  <c:v>800</c:v>
                </c:pt>
                <c:pt idx="2">
                  <c:v>900</c:v>
                </c:pt>
                <c:pt idx="3">
                  <c:v>133.33333333333</c:v>
                </c:pt>
                <c:pt idx="4">
                  <c:v>1333.33333333333</c:v>
                </c:pt>
                <c:pt idx="5">
                  <c:v>1533.33333333333</c:v>
                </c:pt>
              </c:numCache>
            </c:numRef>
          </c:val>
        </c:ser>
        <c:ser>
          <c:idx val="34"/>
          <c:order val="34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34</c:f>
              <c:numCache>
                <c:formatCode>#,##0.00\ [$€-1]</c:formatCode>
                <c:ptCount val="6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</c:numCache>
            </c:numRef>
          </c:val>
        </c:ser>
        <c:ser>
          <c:idx val="35"/>
          <c:order val="35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35</c:f>
              <c:numCache>
                <c:formatCode>#,##0.00\ [$€-1]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</c:ser>
        <c:ser>
          <c:idx val="36"/>
          <c:order val="36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36</c:f>
              <c:numCache>
                <c:formatCode>#,##0.00\ [$€-1]</c:formatCode>
                <c:ptCount val="6"/>
                <c:pt idx="0">
                  <c:v>120</c:v>
                </c:pt>
                <c:pt idx="1">
                  <c:v>87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</c:numCache>
            </c:numRef>
          </c:val>
        </c:ser>
        <c:ser>
          <c:idx val="37"/>
          <c:order val="37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37</c:f>
              <c:numCache>
                <c:formatCode>#,##0.00\ [$€-1]</c:formatCode>
                <c:ptCount val="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</c:numCache>
            </c:numRef>
          </c:val>
        </c:ser>
        <c:ser>
          <c:idx val="38"/>
          <c:order val="38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38</c:f>
              <c:numCache>
                <c:formatCode>#,##0.00\ [$€-1]</c:formatCode>
                <c:ptCount val="6"/>
                <c:pt idx="0">
                  <c:v>4740</c:v>
                </c:pt>
                <c:pt idx="1">
                  <c:v>4707</c:v>
                </c:pt>
                <c:pt idx="2">
                  <c:v>4840</c:v>
                </c:pt>
                <c:pt idx="3">
                  <c:v>4073.33333333333</c:v>
                </c:pt>
                <c:pt idx="4">
                  <c:v>5273.33333333333</c:v>
                </c:pt>
                <c:pt idx="5">
                  <c:v>5473.33333333333</c:v>
                </c:pt>
              </c:numCache>
            </c:numRef>
          </c:val>
        </c:ser>
        <c:ser>
          <c:idx val="39"/>
          <c:order val="39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39</c:f>
              <c:numCache>
                <c:formatCode>#,##0.00\ [$€-1]</c:formatCode>
                <c:ptCount val="6"/>
                <c:pt idx="0">
                  <c:v>-2365</c:v>
                </c:pt>
                <c:pt idx="1">
                  <c:v>4893</c:v>
                </c:pt>
                <c:pt idx="2">
                  <c:v>18160</c:v>
                </c:pt>
                <c:pt idx="3">
                  <c:v>22326.6666666667</c:v>
                </c:pt>
                <c:pt idx="4">
                  <c:v>69726.6666666667</c:v>
                </c:pt>
                <c:pt idx="5">
                  <c:v>87326.6666666667</c:v>
                </c:pt>
              </c:numCache>
            </c:numRef>
          </c:val>
        </c:ser>
        <c:ser>
          <c:idx val="40"/>
          <c:order val="40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40</c:f>
              <c:numCache>
                <c:formatCode>#,##0.00\ [$€-1]</c:formatCode>
                <c:ptCount val="6"/>
                <c:pt idx="0">
                  <c:v>498.75</c:v>
                </c:pt>
                <c:pt idx="1">
                  <c:v>2016</c:v>
                </c:pt>
                <c:pt idx="2">
                  <c:v>4830</c:v>
                </c:pt>
                <c:pt idx="3">
                  <c:v>5544</c:v>
                </c:pt>
                <c:pt idx="4">
                  <c:v>15750</c:v>
                </c:pt>
                <c:pt idx="5">
                  <c:v>19488</c:v>
                </c:pt>
              </c:numCache>
            </c:numRef>
          </c:val>
        </c:ser>
        <c:ser>
          <c:idx val="41"/>
          <c:order val="41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41</c:f>
              <c:numCache>
                <c:formatCode>#,##0.0\ [$€-1]</c:formatCode>
                <c:ptCount val="6"/>
                <c:pt idx="0">
                  <c:v>-7105</c:v>
                </c:pt>
                <c:pt idx="1">
                  <c:v>186</c:v>
                </c:pt>
                <c:pt idx="2">
                  <c:v>13320</c:v>
                </c:pt>
                <c:pt idx="3">
                  <c:v>18253.3333333333</c:v>
                </c:pt>
                <c:pt idx="4">
                  <c:v>64453.3333333333</c:v>
                </c:pt>
                <c:pt idx="5">
                  <c:v>81853.3333333333</c:v>
                </c:pt>
              </c:numCache>
            </c:numRef>
          </c:val>
        </c:ser>
        <c:ser>
          <c:idx val="42"/>
          <c:order val="42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42</c:f>
              <c:numCache>
                <c:formatCode>#,##0.00\ [$€-1]</c:formatCode>
                <c:ptCount val="6"/>
                <c:pt idx="0">
                  <c:v>-57603.75</c:v>
                </c:pt>
                <c:pt idx="1">
                  <c:v>-1830</c:v>
                </c:pt>
                <c:pt idx="2">
                  <c:v>8490</c:v>
                </c:pt>
                <c:pt idx="3">
                  <c:v>12709.3333333333</c:v>
                </c:pt>
                <c:pt idx="4">
                  <c:v>48703.3333333333</c:v>
                </c:pt>
                <c:pt idx="5">
                  <c:v>62365.3333333333</c:v>
                </c:pt>
              </c:numCache>
            </c:numRef>
          </c:val>
        </c:ser>
        <c:ser>
          <c:idx val="43"/>
          <c:order val="43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43</c:f>
              <c:numCache>
                <c:formatCode>#,##0.00\ [$€-1]</c:formatCode>
                <c:ptCount val="6"/>
                <c:pt idx="0">
                  <c:v>50000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4"/>
          <c:order val="44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44</c:f>
              <c:numCache>
                <c:formatCode>#,##0.00\ [$€-1]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5"/>
          <c:order val="45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45</c:f>
              <c:numCache>
                <c:formatCode>#,##0.00\ [$€-1]</c:formatCode>
                <c:ptCount val="6"/>
                <c:pt idx="0">
                  <c:v>-7105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6"/>
          <c:order val="46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46</c:f>
              <c:numCache>
                <c:formatCode>#,##0</c:formatCode>
                <c:ptCount val="6"/>
                <c:pt idx="0">
                  <c:v>0</c:v>
                </c:pt>
                <c:pt idx="1">
                  <c:v>120</c:v>
                </c:pt>
                <c:pt idx="2">
                  <c:v>300</c:v>
                </c:pt>
                <c:pt idx="3">
                  <c:v>360</c:v>
                </c:pt>
                <c:pt idx="4">
                  <c:v>900</c:v>
                </c:pt>
                <c:pt idx="5">
                  <c:v>1200</c:v>
                </c:pt>
              </c:numCache>
            </c:numRef>
          </c:val>
        </c:ser>
        <c:ser>
          <c:idx val="47"/>
          <c:order val="47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47</c:f>
              <c:numCache>
                <c:formatCode>#,##0</c:formatCode>
                <c:ptCount val="6"/>
                <c:pt idx="0">
                  <c:v>95</c:v>
                </c:pt>
                <c:pt idx="1">
                  <c:v>280</c:v>
                </c:pt>
                <c:pt idx="2">
                  <c:v>700</c:v>
                </c:pt>
                <c:pt idx="3">
                  <c:v>840</c:v>
                </c:pt>
                <c:pt idx="4">
                  <c:v>2100</c:v>
                </c:pt>
                <c:pt idx="5">
                  <c:v>2800</c:v>
                </c:pt>
              </c:numCache>
            </c:numRef>
          </c:val>
        </c:ser>
        <c:ser>
          <c:idx val="48"/>
          <c:order val="48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48</c:f>
              <c:numCache>
                <c:formatCode>#,##0.00\ [$€-1]</c:formatCode>
                <c:ptCount val="6"/>
                <c:pt idx="0">
                  <c:v>8.42105263157895</c:v>
                </c:pt>
                <c:pt idx="1">
                  <c:v>2.85714285714286</c:v>
                </c:pt>
                <c:pt idx="2">
                  <c:v>1.28571428571429</c:v>
                </c:pt>
                <c:pt idx="3">
                  <c:v>0.158730158730155</c:v>
                </c:pt>
                <c:pt idx="4">
                  <c:v>0.634920634920633</c:v>
                </c:pt>
                <c:pt idx="5">
                  <c:v>0.547619047619047</c:v>
                </c:pt>
              </c:numCache>
            </c:numRef>
          </c:val>
        </c:ser>
        <c:ser>
          <c:idx val="49"/>
          <c:order val="49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49</c:f>
              <c:numCache>
                <c:formatCode>#,##0.00\ [$€-1]</c:formatCode>
                <c:ptCount val="6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25</c:v>
                </c:pt>
                <c:pt idx="5">
                  <c:v>23.2</c:v>
                </c:pt>
              </c:numCache>
            </c:numRef>
          </c:val>
        </c:ser>
        <c:ser>
          <c:idx val="50"/>
          <c:order val="50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50</c:f>
              <c:numCache>
                <c:formatCode>#,##0.00\ [$€-1]</c:formatCode>
                <c:ptCount val="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100</c:v>
                </c:pt>
                <c:pt idx="5">
                  <c:v>92.8</c:v>
                </c:pt>
              </c:numCache>
            </c:numRef>
          </c:val>
        </c:ser>
        <c:ser>
          <c:idx val="51"/>
          <c:order val="51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51</c:f>
              <c:numCache>
                <c:formatCode>#,##0.00\ [$€-1]</c:formatCode>
                <c:ptCount val="6"/>
                <c:pt idx="0">
                  <c:v>11.875</c:v>
                </c:pt>
                <c:pt idx="1">
                  <c:v>33.6</c:v>
                </c:pt>
                <c:pt idx="2">
                  <c:v>71.5555555555556</c:v>
                </c:pt>
                <c:pt idx="3">
                  <c:v>554.400000000014</c:v>
                </c:pt>
                <c:pt idx="4">
                  <c:v>157.5</c:v>
                </c:pt>
                <c:pt idx="5">
                  <c:v>169.460869565218</c:v>
                </c:pt>
              </c:numCache>
            </c:numRef>
          </c:val>
        </c:ser>
        <c:ser>
          <c:idx val="52"/>
          <c:order val="52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52</c:f>
              <c:numCache>
                <c:formatCode>#,##0\ [$€-1]</c:formatCode>
                <c:ptCount val="6"/>
                <c:pt idx="0">
                  <c:v>2375</c:v>
                </c:pt>
                <c:pt idx="1">
                  <c:v>9600</c:v>
                </c:pt>
                <c:pt idx="2">
                  <c:v>23000</c:v>
                </c:pt>
                <c:pt idx="3">
                  <c:v>26400</c:v>
                </c:pt>
                <c:pt idx="4">
                  <c:v>75000</c:v>
                </c:pt>
                <c:pt idx="5">
                  <c:v>92800</c:v>
                </c:pt>
              </c:numCache>
            </c:numRef>
          </c:val>
        </c:ser>
        <c:ser>
          <c:idx val="53"/>
          <c:order val="53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53</c:f>
              <c:numCache>
                <c:formatCode>#,##0</c:formatCode>
                <c:ptCount val="6"/>
                <c:pt idx="0">
                  <c:v>95</c:v>
                </c:pt>
                <c:pt idx="1">
                  <c:v>280</c:v>
                </c:pt>
                <c:pt idx="2">
                  <c:v>700</c:v>
                </c:pt>
                <c:pt idx="3">
                  <c:v>840</c:v>
                </c:pt>
                <c:pt idx="4">
                  <c:v>2100</c:v>
                </c:pt>
                <c:pt idx="5">
                  <c:v>2800</c:v>
                </c:pt>
              </c:numCache>
            </c:numRef>
          </c:val>
        </c:ser>
        <c:ser>
          <c:idx val="54"/>
          <c:order val="54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54</c:f>
              <c:numCache>
                <c:formatCode>#,##0.00\ [$€-1]</c:formatCode>
                <c:ptCount val="6"/>
                <c:pt idx="0">
                  <c:v>8.42105263157895</c:v>
                </c:pt>
                <c:pt idx="1">
                  <c:v>2.85714285714286</c:v>
                </c:pt>
                <c:pt idx="2">
                  <c:v>1.28571428571429</c:v>
                </c:pt>
                <c:pt idx="3">
                  <c:v>0.158730158730155</c:v>
                </c:pt>
                <c:pt idx="4">
                  <c:v>0.634920634920633</c:v>
                </c:pt>
                <c:pt idx="5">
                  <c:v>0.547619047619047</c:v>
                </c:pt>
              </c:numCache>
            </c:numRef>
          </c:val>
        </c:ser>
        <c:ser>
          <c:idx val="55"/>
          <c:order val="55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55</c:f>
              <c:numCache>
                <c:formatCode>#,##0.00\ [$€-1]</c:formatCode>
                <c:ptCount val="6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25</c:v>
                </c:pt>
                <c:pt idx="5">
                  <c:v>23.2</c:v>
                </c:pt>
              </c:numCache>
            </c:numRef>
          </c:val>
        </c:ser>
        <c:ser>
          <c:idx val="56"/>
          <c:order val="56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56</c:f>
              <c:numCache>
                <c:formatCode>#,##0.00\ [$€-1]</c:formatCode>
                <c:ptCount val="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100</c:v>
                </c:pt>
                <c:pt idx="5">
                  <c:v>92.8</c:v>
                </c:pt>
              </c:numCache>
            </c:numRef>
          </c:val>
        </c:ser>
        <c:ser>
          <c:idx val="57"/>
          <c:order val="57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57</c:f>
              <c:numCache>
                <c:formatCode>#,##0.00\ [$€-1]</c:formatCode>
                <c:ptCount val="6"/>
                <c:pt idx="0">
                  <c:v>11.875</c:v>
                </c:pt>
                <c:pt idx="1">
                  <c:v>33.6</c:v>
                </c:pt>
                <c:pt idx="2">
                  <c:v>71.5555555555556</c:v>
                </c:pt>
                <c:pt idx="3">
                  <c:v>554.400000000014</c:v>
                </c:pt>
                <c:pt idx="4">
                  <c:v>157.5</c:v>
                </c:pt>
                <c:pt idx="5">
                  <c:v>169.460869565218</c:v>
                </c:pt>
              </c:numCache>
            </c:numRef>
          </c:val>
        </c:ser>
        <c:ser>
          <c:idx val="58"/>
          <c:order val="58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58</c:f>
              <c:numCache>
                <c:formatCode>#,##0\ [$€-1]</c:formatCode>
                <c:ptCount val="6"/>
                <c:pt idx="0">
                  <c:v>2375</c:v>
                </c:pt>
                <c:pt idx="1">
                  <c:v>9600</c:v>
                </c:pt>
                <c:pt idx="2">
                  <c:v>23000</c:v>
                </c:pt>
                <c:pt idx="3">
                  <c:v>26400</c:v>
                </c:pt>
                <c:pt idx="4">
                  <c:v>75000</c:v>
                </c:pt>
                <c:pt idx="5">
                  <c:v>92800</c:v>
                </c:pt>
              </c:numCache>
            </c:numRef>
          </c:val>
        </c:ser>
        <c:ser>
          <c:idx val="59"/>
          <c:order val="59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59</c:f>
              <c:numCache>
                <c:formatCode>#,##0.00\ [$€-1]</c:formatCode>
                <c:ptCount val="6"/>
                <c:pt idx="0">
                  <c:v>8.42105263157895</c:v>
                </c:pt>
                <c:pt idx="1">
                  <c:v>2.85714285714286</c:v>
                </c:pt>
                <c:pt idx="2">
                  <c:v>1.28571428571429</c:v>
                </c:pt>
                <c:pt idx="3">
                  <c:v>0.158730158730155</c:v>
                </c:pt>
                <c:pt idx="4">
                  <c:v>0.634920634920633</c:v>
                </c:pt>
                <c:pt idx="5">
                  <c:v>0.547619047619047</c:v>
                </c:pt>
              </c:numCache>
            </c:numRef>
          </c:val>
        </c:ser>
        <c:ser>
          <c:idx val="60"/>
          <c:order val="60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60</c:f>
              <c:numCache>
                <c:formatCode>#,##0.00\ [$€-1]</c:formatCode>
                <c:ptCount val="6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25</c:v>
                </c:pt>
                <c:pt idx="5">
                  <c:v>23.2</c:v>
                </c:pt>
              </c:numCache>
            </c:numRef>
          </c:val>
        </c:ser>
        <c:ser>
          <c:idx val="61"/>
          <c:order val="61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61</c:f>
              <c:numCache>
                <c:formatCode>#,##0.00\ [$€-1]</c:formatCode>
                <c:ptCount val="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100</c:v>
                </c:pt>
                <c:pt idx="5">
                  <c:v>92.8</c:v>
                </c:pt>
              </c:numCache>
            </c:numRef>
          </c:val>
        </c:ser>
        <c:ser>
          <c:idx val="62"/>
          <c:order val="62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62</c:f>
              <c:numCache>
                <c:formatCode>#,##0.00\ [$€-1]</c:formatCode>
                <c:ptCount val="6"/>
                <c:pt idx="0">
                  <c:v>11.875</c:v>
                </c:pt>
                <c:pt idx="1">
                  <c:v>33.6</c:v>
                </c:pt>
                <c:pt idx="2">
                  <c:v>71.5555555555556</c:v>
                </c:pt>
                <c:pt idx="3">
                  <c:v>554.400000000014</c:v>
                </c:pt>
                <c:pt idx="4">
                  <c:v>157.5</c:v>
                </c:pt>
                <c:pt idx="5">
                  <c:v>169.460869565218</c:v>
                </c:pt>
              </c:numCache>
            </c:numRef>
          </c:val>
        </c:ser>
        <c:ser>
          <c:idx val="63"/>
          <c:order val="63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63</c:f>
              <c:numCache>
                <c:formatCode>#,##0\ [$€-1]</c:formatCode>
                <c:ptCount val="6"/>
                <c:pt idx="0">
                  <c:v>2375</c:v>
                </c:pt>
                <c:pt idx="1">
                  <c:v>9600</c:v>
                </c:pt>
                <c:pt idx="2">
                  <c:v>23000</c:v>
                </c:pt>
                <c:pt idx="3">
                  <c:v>26400</c:v>
                </c:pt>
                <c:pt idx="4">
                  <c:v>75000</c:v>
                </c:pt>
                <c:pt idx="5">
                  <c:v>92800</c:v>
                </c:pt>
              </c:numCache>
            </c:numRef>
          </c:val>
        </c:ser>
        <c:ser>
          <c:idx val="64"/>
          <c:order val="64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64</c:f>
              <c:numCache>
                <c:formatCode>#,##0.00\ [$€-1]</c:formatCode>
                <c:ptCount val="6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25</c:v>
                </c:pt>
                <c:pt idx="5">
                  <c:v>23.2</c:v>
                </c:pt>
              </c:numCache>
            </c:numRef>
          </c:val>
        </c:ser>
        <c:ser>
          <c:idx val="65"/>
          <c:order val="65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65</c:f>
              <c:numCache>
                <c:formatCode>#,##0.00\ [$€-1]</c:formatCode>
                <c:ptCount val="6"/>
                <c:pt idx="0">
                  <c:v>100</c:v>
                </c:pt>
                <c:pt idx="1">
                  <c:v>96</c:v>
                </c:pt>
                <c:pt idx="2">
                  <c:v>92</c:v>
                </c:pt>
                <c:pt idx="3">
                  <c:v>88</c:v>
                </c:pt>
                <c:pt idx="4">
                  <c:v>100</c:v>
                </c:pt>
                <c:pt idx="5">
                  <c:v>92.8</c:v>
                </c:pt>
              </c:numCache>
            </c:numRef>
          </c:val>
        </c:ser>
        <c:ser>
          <c:idx val="66"/>
          <c:order val="66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66</c:f>
              <c:numCache>
                <c:formatCode>#,##0.00\ [$€-1]</c:formatCode>
                <c:ptCount val="6"/>
                <c:pt idx="0">
                  <c:v>11.875</c:v>
                </c:pt>
                <c:pt idx="1">
                  <c:v>33.6</c:v>
                </c:pt>
                <c:pt idx="2">
                  <c:v>71.5555555555556</c:v>
                </c:pt>
                <c:pt idx="3">
                  <c:v>554.400000000014</c:v>
                </c:pt>
                <c:pt idx="4">
                  <c:v>157.5</c:v>
                </c:pt>
                <c:pt idx="5">
                  <c:v>169.460869565218</c:v>
                </c:pt>
              </c:numCache>
            </c:numRef>
          </c:val>
        </c:ser>
        <c:ser>
          <c:idx val="67"/>
          <c:order val="67"/>
          <c:spPr>
            <a:solidFill>
              <a:srgbClr val="fffff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67</c:f>
              <c:numCache>
                <c:formatCode>#,##0\ [$€-1]</c:formatCode>
                <c:ptCount val="6"/>
                <c:pt idx="0">
                  <c:v>2375</c:v>
                </c:pt>
                <c:pt idx="1">
                  <c:v>9600</c:v>
                </c:pt>
                <c:pt idx="2">
                  <c:v>23000</c:v>
                </c:pt>
                <c:pt idx="3">
                  <c:v>26400</c:v>
                </c:pt>
                <c:pt idx="4">
                  <c:v>75000</c:v>
                </c:pt>
                <c:pt idx="5">
                  <c:v>92800</c:v>
                </c:pt>
              </c:numCache>
            </c:numRef>
          </c:val>
        </c:ser>
        <c:gapWidth val="150"/>
        <c:overlap val="0"/>
        <c:axId val="92689373"/>
        <c:axId val="23852736"/>
      </c:barChart>
      <c:catAx>
        <c:axId val="926893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3852736"/>
        <c:crosses val="autoZero"/>
        <c:auto val="1"/>
        <c:lblAlgn val="ctr"/>
        <c:lblOffset val="100"/>
        <c:noMultiLvlLbl val="0"/>
      </c:catAx>
      <c:valAx>
        <c:axId val="2385273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minorGridlines>
          <c:spPr>
            <a:ln w="6480">
              <a:solidFill>
                <a:srgbClr val="cccccc"/>
              </a:solidFill>
              <a:round/>
            </a:ln>
          </c:spPr>
        </c:minorGridlines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26893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73</xdr:row>
      <xdr:rowOff>181080</xdr:rowOff>
    </xdr:from>
    <xdr:to>
      <xdr:col>13</xdr:col>
      <xdr:colOff>174960</xdr:colOff>
      <xdr:row>99</xdr:row>
      <xdr:rowOff>37080</xdr:rowOff>
    </xdr:to>
    <xdr:graphicFrame>
      <xdr:nvGraphicFramePr>
        <xdr:cNvPr id="0" name="Chart 1"/>
        <xdr:cNvGraphicFramePr/>
      </xdr:nvGraphicFramePr>
      <xdr:xfrm>
        <a:off x="0" y="15563880"/>
        <a:ext cx="10639080" cy="505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145800</xdr:colOff>
      <xdr:row>0</xdr:row>
      <xdr:rowOff>494280</xdr:rowOff>
    </xdr:to>
    <xdr:pic>
      <xdr:nvPicPr>
        <xdr:cNvPr id="1" name="image1.png" descr=""/>
        <xdr:cNvPicPr/>
      </xdr:nvPicPr>
      <xdr:blipFill>
        <a:blip r:embed="rId2"/>
        <a:stretch/>
      </xdr:blipFill>
      <xdr:spPr>
        <a:xfrm>
          <a:off x="0" y="0"/>
          <a:ext cx="1989720" cy="494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godolphy.com/plantilla-facturacion-centros-de-estetica-excel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O12" activeCellId="0" sqref="O12"/>
    </sheetView>
  </sheetViews>
  <sheetFormatPr defaultColWidth="12.66796875" defaultRowHeight="15" zeroHeight="false" outlineLevelRow="0" outlineLevelCol="0"/>
  <cols>
    <col collapsed="false" customWidth="true" hidden="false" outlineLevel="0" max="1" min="1" style="1" width="26.16"/>
    <col collapsed="false" customWidth="true" hidden="false" outlineLevel="0" max="7" min="2" style="1" width="9.83"/>
    <col collapsed="false" customWidth="true" hidden="false" outlineLevel="0" max="8" min="8" style="1" width="10.51"/>
    <col collapsed="false" customWidth="true" hidden="false" outlineLevel="0" max="11" min="9" style="1" width="10.16"/>
    <col collapsed="false" customWidth="true" hidden="false" outlineLevel="0" max="13" min="12" style="1" width="11.16"/>
    <col collapsed="false" customWidth="true" hidden="false" outlineLevel="0" max="14" min="14" style="1" width="13"/>
  </cols>
  <sheetData>
    <row r="1" customFormat="false" ht="68.2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24.75" hidden="false" customHeight="true" outlineLevel="0" collapsed="false">
      <c r="A2" s="4"/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Format="false" ht="15.75" hidden="false" customHeight="true" outlineLevel="0" collapsed="false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8" t="s">
        <v>14</v>
      </c>
      <c r="N3" s="8" t="s">
        <v>15</v>
      </c>
    </row>
    <row r="4" customFormat="false" ht="15.75" hidden="false" customHeight="true" outlineLevel="0" collapsed="false">
      <c r="A4" s="9" t="s">
        <v>16</v>
      </c>
      <c r="B4" s="10" t="n">
        <v>280</v>
      </c>
      <c r="C4" s="10" t="n">
        <v>300</v>
      </c>
      <c r="D4" s="10" t="n">
        <v>340</v>
      </c>
      <c r="E4" s="10" t="n">
        <v>360</v>
      </c>
      <c r="F4" s="10" t="n">
        <v>400</v>
      </c>
      <c r="G4" s="10" t="n">
        <v>430</v>
      </c>
      <c r="H4" s="10" t="n">
        <v>380</v>
      </c>
      <c r="I4" s="10" t="n">
        <v>250</v>
      </c>
      <c r="J4" s="10" t="n">
        <v>360</v>
      </c>
      <c r="K4" s="10" t="n">
        <v>380</v>
      </c>
      <c r="L4" s="10" t="n">
        <v>390</v>
      </c>
      <c r="M4" s="11" t="n">
        <v>450</v>
      </c>
      <c r="N4" s="11" t="n">
        <f aca="false">SUM(B4:M4)</f>
        <v>4320</v>
      </c>
    </row>
    <row r="5" customFormat="false" ht="15.75" hidden="false" customHeight="true" outlineLevel="0" collapsed="false">
      <c r="A5" s="12" t="s">
        <v>17</v>
      </c>
      <c r="B5" s="10" t="n">
        <v>0</v>
      </c>
      <c r="C5" s="10" t="n">
        <f aca="false">0.75*C4</f>
        <v>225</v>
      </c>
      <c r="D5" s="10" t="n">
        <f aca="false">0.75*D4</f>
        <v>255</v>
      </c>
      <c r="E5" s="10" t="n">
        <f aca="false">0.75*E4</f>
        <v>270</v>
      </c>
      <c r="F5" s="10" t="n">
        <f aca="false">0.75*F4</f>
        <v>300</v>
      </c>
      <c r="G5" s="10" t="n">
        <f aca="false">0.75*G4</f>
        <v>322.5</v>
      </c>
      <c r="H5" s="10" t="n">
        <f aca="false">0.75*H4</f>
        <v>285</v>
      </c>
      <c r="I5" s="10" t="n">
        <f aca="false">0.75*I4</f>
        <v>187.5</v>
      </c>
      <c r="J5" s="10" t="n">
        <f aca="false">0.75*J4</f>
        <v>270</v>
      </c>
      <c r="K5" s="10" t="n">
        <f aca="false">0.75*K4</f>
        <v>285</v>
      </c>
      <c r="L5" s="10" t="n">
        <f aca="false">0.75*L4</f>
        <v>292.5</v>
      </c>
      <c r="M5" s="11" t="n">
        <f aca="false">0.75*M4</f>
        <v>337.5</v>
      </c>
      <c r="N5" s="11" t="n">
        <f aca="false">SUM(B5:M5)</f>
        <v>3030</v>
      </c>
    </row>
    <row r="6" customFormat="false" ht="15.75" hidden="false" customHeight="true" outlineLevel="0" collapsed="false">
      <c r="A6" s="13" t="s">
        <v>18</v>
      </c>
      <c r="B6" s="14" t="n">
        <f aca="false">B4-B5</f>
        <v>280</v>
      </c>
      <c r="C6" s="14" t="n">
        <f aca="false">C4-C5</f>
        <v>75</v>
      </c>
      <c r="D6" s="14" t="n">
        <f aca="false">D4-D5</f>
        <v>85</v>
      </c>
      <c r="E6" s="14" t="n">
        <f aca="false">E4-E5</f>
        <v>90</v>
      </c>
      <c r="F6" s="14" t="n">
        <f aca="false">F4-F5</f>
        <v>100</v>
      </c>
      <c r="G6" s="14" t="n">
        <f aca="false">G4-G5</f>
        <v>107.5</v>
      </c>
      <c r="H6" s="14" t="n">
        <f aca="false">H4-H5</f>
        <v>95</v>
      </c>
      <c r="I6" s="14" t="n">
        <f aca="false">I4-I5</f>
        <v>62.5</v>
      </c>
      <c r="J6" s="14" t="n">
        <f aca="false">J4-J5</f>
        <v>90</v>
      </c>
      <c r="K6" s="14" t="n">
        <f aca="false">K4-K5</f>
        <v>95</v>
      </c>
      <c r="L6" s="14" t="n">
        <f aca="false">L4-L5</f>
        <v>97.5</v>
      </c>
      <c r="M6" s="15" t="n">
        <f aca="false">M4-M5</f>
        <v>112.5</v>
      </c>
      <c r="N6" s="15" t="n">
        <f aca="false">SUM(B6:M6)</f>
        <v>1290</v>
      </c>
    </row>
    <row r="7" customFormat="false" ht="15.75" hidden="false" customHeight="true" outlineLevel="0" collapsed="false">
      <c r="A7" s="13" t="s">
        <v>19</v>
      </c>
      <c r="B7" s="16" t="n">
        <f aca="false">IFERROR(B14/B6,0)</f>
        <v>1.42857142857143</v>
      </c>
      <c r="C7" s="16" t="n">
        <f aca="false">IFERROR(C14/C6,0)</f>
        <v>5.33333333333333</v>
      </c>
      <c r="D7" s="16" t="n">
        <f aca="false">IFERROR(D14/D6,0)</f>
        <v>4.70588235294118</v>
      </c>
      <c r="E7" s="16" t="n">
        <f aca="false">IFERROR(E14/E6,0)</f>
        <v>4.44444444444445</v>
      </c>
      <c r="F7" s="16" t="n">
        <f aca="false">IFERROR(F14/F6,0)</f>
        <v>4</v>
      </c>
      <c r="G7" s="16" t="n">
        <f aca="false">IFERROR(G14/G6,0)</f>
        <v>3.72093023255814</v>
      </c>
      <c r="H7" s="16" t="n">
        <f aca="false">IFERROR(H14/H6,0)</f>
        <v>4.21052631578947</v>
      </c>
      <c r="I7" s="16" t="n">
        <f aca="false">IFERROR(I14/I6,0)</f>
        <v>6.4</v>
      </c>
      <c r="J7" s="16" t="n">
        <f aca="false">IFERROR(J14/J6,0)</f>
        <v>4.44444444444445</v>
      </c>
      <c r="K7" s="16" t="n">
        <f aca="false">IFERROR(K14/K6,0)</f>
        <v>4.21052631578947</v>
      </c>
      <c r="L7" s="16" t="n">
        <f aca="false">IFERROR(L14/L6,0)</f>
        <v>4.1025641025641</v>
      </c>
      <c r="M7" s="17" t="n">
        <f aca="false">IFERROR(M14/M6,0)</f>
        <v>3.55555555555556</v>
      </c>
      <c r="N7" s="17" t="n">
        <f aca="false">IFERROR(N14/N6,0)</f>
        <v>3.72093023255814</v>
      </c>
    </row>
    <row r="8" customFormat="false" ht="15.75" hidden="false" customHeight="true" outlineLevel="0" collapsed="false">
      <c r="A8" s="18" t="s">
        <v>20</v>
      </c>
      <c r="B8" s="16" t="n">
        <f aca="false">IFERROR(B11/B4,0)</f>
        <v>35</v>
      </c>
      <c r="C8" s="16" t="n">
        <f aca="false">IFERROR(C11/C4,0)</f>
        <v>35</v>
      </c>
      <c r="D8" s="16" t="n">
        <f aca="false">IFERROR(D11/D4,0)</f>
        <v>35</v>
      </c>
      <c r="E8" s="16" t="n">
        <f aca="false">IFERROR(E11/E4,0)</f>
        <v>35</v>
      </c>
      <c r="F8" s="16" t="n">
        <f aca="false">IFERROR(F11/F4,0)</f>
        <v>35</v>
      </c>
      <c r="G8" s="16" t="n">
        <f aca="false">IFERROR(G11/G4,0)</f>
        <v>35</v>
      </c>
      <c r="H8" s="16" t="n">
        <f aca="false">IFERROR(H11/H4,0)</f>
        <v>35</v>
      </c>
      <c r="I8" s="16" t="n">
        <f aca="false">IFERROR(I11/I4,0)</f>
        <v>35</v>
      </c>
      <c r="J8" s="16" t="n">
        <f aca="false">IFERROR(J11/J4,0)</f>
        <v>35</v>
      </c>
      <c r="K8" s="16" t="n">
        <f aca="false">IFERROR(K11/K4,0)</f>
        <v>35</v>
      </c>
      <c r="L8" s="16" t="n">
        <f aca="false">IFERROR(L11/L4,0)</f>
        <v>35</v>
      </c>
      <c r="M8" s="17" t="n">
        <f aca="false">IFERROR(M11/M4,0)</f>
        <v>35</v>
      </c>
      <c r="N8" s="17" t="n">
        <f aca="false">IFERROR(N11/N4,0)</f>
        <v>35</v>
      </c>
    </row>
    <row r="9" customFormat="false" ht="15.75" hidden="false" customHeight="true" outlineLevel="0" collapsed="false">
      <c r="A9" s="13" t="s">
        <v>21</v>
      </c>
      <c r="B9" s="16" t="n">
        <f aca="false">B8*4</f>
        <v>140</v>
      </c>
      <c r="C9" s="16" t="n">
        <f aca="false">C8*4</f>
        <v>140</v>
      </c>
      <c r="D9" s="16" t="n">
        <f aca="false">D8*4</f>
        <v>140</v>
      </c>
      <c r="E9" s="16" t="n">
        <f aca="false">E8*4</f>
        <v>140</v>
      </c>
      <c r="F9" s="16" t="n">
        <f aca="false">F8*4</f>
        <v>140</v>
      </c>
      <c r="G9" s="16" t="n">
        <f aca="false">G8*4</f>
        <v>140</v>
      </c>
      <c r="H9" s="16" t="n">
        <f aca="false">H8*4</f>
        <v>140</v>
      </c>
      <c r="I9" s="16" t="n">
        <f aca="false">I8*4</f>
        <v>140</v>
      </c>
      <c r="J9" s="16" t="n">
        <f aca="false">J8*4</f>
        <v>140</v>
      </c>
      <c r="K9" s="16" t="n">
        <f aca="false">K8*4</f>
        <v>140</v>
      </c>
      <c r="L9" s="16" t="n">
        <f aca="false">L8*4</f>
        <v>140</v>
      </c>
      <c r="M9" s="17" t="n">
        <f aca="false">M8*4</f>
        <v>140</v>
      </c>
      <c r="N9" s="17" t="n">
        <f aca="false">N8*4</f>
        <v>140</v>
      </c>
    </row>
    <row r="10" customFormat="false" ht="15.75" hidden="false" customHeight="true" outlineLevel="0" collapsed="false">
      <c r="A10" s="18" t="s">
        <v>22</v>
      </c>
      <c r="B10" s="16" t="n">
        <f aca="false">IFERROR(B9/B7,0)</f>
        <v>98</v>
      </c>
      <c r="C10" s="16" t="n">
        <f aca="false">IFERROR(C9/C7,0)</f>
        <v>26.25</v>
      </c>
      <c r="D10" s="16" t="n">
        <f aca="false">IFERROR(D9/D7,0)</f>
        <v>29.75</v>
      </c>
      <c r="E10" s="16" t="n">
        <f aca="false">IFERROR(E9/E7,0)</f>
        <v>31.5</v>
      </c>
      <c r="F10" s="16" t="n">
        <f aca="false">IFERROR(F9/F7,0)</f>
        <v>35</v>
      </c>
      <c r="G10" s="16" t="n">
        <f aca="false">IFERROR(G9/G7,0)</f>
        <v>37.625</v>
      </c>
      <c r="H10" s="16" t="n">
        <f aca="false">IFERROR(H9/H7,0)</f>
        <v>33.25</v>
      </c>
      <c r="I10" s="16" t="n">
        <f aca="false">IFERROR(I9/I7,0)</f>
        <v>21.875</v>
      </c>
      <c r="J10" s="16" t="n">
        <f aca="false">IFERROR(J9/J7,0)</f>
        <v>31.5</v>
      </c>
      <c r="K10" s="16" t="n">
        <f aca="false">IFERROR(K9/K7,0)</f>
        <v>33.25</v>
      </c>
      <c r="L10" s="16" t="n">
        <f aca="false">IFERROR(L9/L7,0)</f>
        <v>34.125</v>
      </c>
      <c r="M10" s="17" t="n">
        <f aca="false">IFERROR(M9/M7,0)</f>
        <v>39.375</v>
      </c>
      <c r="N10" s="17" t="n">
        <f aca="false">IFERROR(N9/N7,0)</f>
        <v>37.625</v>
      </c>
    </row>
    <row r="11" customFormat="false" ht="15.75" hidden="false" customHeight="true" outlineLevel="0" collapsed="false">
      <c r="A11" s="19" t="s">
        <v>23</v>
      </c>
      <c r="B11" s="20" t="n">
        <v>9800</v>
      </c>
      <c r="C11" s="20" t="n">
        <v>10500</v>
      </c>
      <c r="D11" s="20" t="n">
        <v>11900</v>
      </c>
      <c r="E11" s="20" t="n">
        <v>12600</v>
      </c>
      <c r="F11" s="20" t="n">
        <v>14000</v>
      </c>
      <c r="G11" s="20" t="n">
        <v>15050</v>
      </c>
      <c r="H11" s="20" t="n">
        <v>13300</v>
      </c>
      <c r="I11" s="20" t="n">
        <v>8750</v>
      </c>
      <c r="J11" s="20" t="n">
        <v>12600</v>
      </c>
      <c r="K11" s="20" t="n">
        <v>13300</v>
      </c>
      <c r="L11" s="20" t="n">
        <v>13650</v>
      </c>
      <c r="M11" s="21" t="n">
        <v>15750</v>
      </c>
      <c r="N11" s="21" t="n">
        <f aca="false">SUM(B11:M11)</f>
        <v>151200</v>
      </c>
    </row>
    <row r="12" customFormat="false" ht="15.75" hidden="false" customHeight="true" outlineLevel="0" collapsed="false">
      <c r="A12" s="22" t="s">
        <v>24</v>
      </c>
      <c r="B12" s="23" t="n">
        <v>700</v>
      </c>
      <c r="C12" s="23" t="n">
        <v>750</v>
      </c>
      <c r="D12" s="23" t="n">
        <v>850</v>
      </c>
      <c r="E12" s="23" t="n">
        <v>900</v>
      </c>
      <c r="F12" s="23" t="n">
        <v>1000</v>
      </c>
      <c r="G12" s="23" t="n">
        <v>1050</v>
      </c>
      <c r="H12" s="23" t="n">
        <v>950</v>
      </c>
      <c r="I12" s="23" t="n">
        <v>650</v>
      </c>
      <c r="J12" s="23" t="n">
        <v>900</v>
      </c>
      <c r="K12" s="23" t="n">
        <v>950</v>
      </c>
      <c r="L12" s="23" t="n">
        <v>1000</v>
      </c>
      <c r="M12" s="24" t="n">
        <v>1100</v>
      </c>
      <c r="N12" s="24" t="n">
        <f aca="false">SUM(B12:M12)</f>
        <v>10800</v>
      </c>
    </row>
    <row r="13" customFormat="false" ht="15.75" hidden="false" customHeight="true" outlineLevel="0" collapsed="false">
      <c r="A13" s="12" t="s">
        <v>25</v>
      </c>
      <c r="B13" s="25" t="n">
        <v>4200</v>
      </c>
      <c r="C13" s="25" t="n">
        <v>4200</v>
      </c>
      <c r="D13" s="25" t="n">
        <v>4200</v>
      </c>
      <c r="E13" s="25" t="n">
        <v>4200</v>
      </c>
      <c r="F13" s="25" t="n">
        <v>4200</v>
      </c>
      <c r="G13" s="25" t="n">
        <v>4200</v>
      </c>
      <c r="H13" s="25" t="n">
        <v>4200</v>
      </c>
      <c r="I13" s="25" t="n">
        <v>4200</v>
      </c>
      <c r="J13" s="25" t="n">
        <v>4200</v>
      </c>
      <c r="K13" s="25" t="n">
        <v>4200</v>
      </c>
      <c r="L13" s="25" t="n">
        <v>4200</v>
      </c>
      <c r="M13" s="26" t="n">
        <v>4200</v>
      </c>
      <c r="N13" s="26" t="n">
        <f aca="false">SUM(B13:M13)</f>
        <v>50400</v>
      </c>
    </row>
    <row r="14" customFormat="false" ht="15.75" hidden="false" customHeight="true" outlineLevel="0" collapsed="false">
      <c r="A14" s="12" t="s">
        <v>26</v>
      </c>
      <c r="B14" s="25" t="n">
        <v>400</v>
      </c>
      <c r="C14" s="25" t="n">
        <v>400</v>
      </c>
      <c r="D14" s="25" t="n">
        <v>400</v>
      </c>
      <c r="E14" s="25" t="n">
        <v>400</v>
      </c>
      <c r="F14" s="25" t="n">
        <v>400</v>
      </c>
      <c r="G14" s="25" t="n">
        <v>400</v>
      </c>
      <c r="H14" s="25" t="n">
        <v>400</v>
      </c>
      <c r="I14" s="25" t="n">
        <v>400</v>
      </c>
      <c r="J14" s="25" t="n">
        <v>400</v>
      </c>
      <c r="K14" s="25" t="n">
        <v>400</v>
      </c>
      <c r="L14" s="25" t="n">
        <v>400</v>
      </c>
      <c r="M14" s="26" t="n">
        <v>400</v>
      </c>
      <c r="N14" s="26" t="n">
        <f aca="false">SUM(B14:M14)</f>
        <v>4800</v>
      </c>
    </row>
    <row r="15" customFormat="false" ht="15.75" hidden="false" customHeight="true" outlineLevel="0" collapsed="false">
      <c r="A15" s="19" t="s">
        <v>27</v>
      </c>
      <c r="B15" s="25" t="n">
        <v>1300</v>
      </c>
      <c r="C15" s="25" t="n">
        <v>1300</v>
      </c>
      <c r="D15" s="25" t="n">
        <v>1300</v>
      </c>
      <c r="E15" s="25" t="n">
        <v>1300</v>
      </c>
      <c r="F15" s="25" t="n">
        <v>1300</v>
      </c>
      <c r="G15" s="25" t="n">
        <v>1300</v>
      </c>
      <c r="H15" s="25" t="n">
        <v>1300</v>
      </c>
      <c r="I15" s="25" t="n">
        <v>1300</v>
      </c>
      <c r="J15" s="25" t="n">
        <v>1300</v>
      </c>
      <c r="K15" s="25" t="n">
        <v>1300</v>
      </c>
      <c r="L15" s="25" t="n">
        <v>1300</v>
      </c>
      <c r="M15" s="26" t="n">
        <v>1300</v>
      </c>
      <c r="N15" s="26" t="n">
        <f aca="false">SUM(B15:M15)</f>
        <v>15600</v>
      </c>
    </row>
    <row r="16" customFormat="false" ht="15.75" hidden="false" customHeight="true" outlineLevel="0" collapsed="false">
      <c r="A16" s="19" t="s">
        <v>28</v>
      </c>
      <c r="B16" s="25" t="n">
        <v>150</v>
      </c>
      <c r="C16" s="25" t="n">
        <v>150</v>
      </c>
      <c r="D16" s="25" t="n">
        <v>150</v>
      </c>
      <c r="E16" s="25" t="n">
        <v>150</v>
      </c>
      <c r="F16" s="25" t="n">
        <v>150</v>
      </c>
      <c r="G16" s="25" t="n">
        <v>150</v>
      </c>
      <c r="H16" s="25" t="n">
        <v>150</v>
      </c>
      <c r="I16" s="25" t="n">
        <v>150</v>
      </c>
      <c r="J16" s="25" t="n">
        <v>150</v>
      </c>
      <c r="K16" s="25" t="n">
        <v>150</v>
      </c>
      <c r="L16" s="25" t="n">
        <v>150</v>
      </c>
      <c r="M16" s="26" t="n">
        <v>150</v>
      </c>
      <c r="N16" s="26" t="n">
        <f aca="false">SUM(B16:M16)</f>
        <v>1800</v>
      </c>
    </row>
    <row r="17" customFormat="false" ht="15.75" hidden="false" customHeight="true" outlineLevel="0" collapsed="false">
      <c r="A17" s="19" t="s">
        <v>29</v>
      </c>
      <c r="B17" s="25" t="n">
        <v>60</v>
      </c>
      <c r="C17" s="25" t="n">
        <v>60</v>
      </c>
      <c r="D17" s="25" t="n">
        <v>60</v>
      </c>
      <c r="E17" s="25" t="n">
        <v>60</v>
      </c>
      <c r="F17" s="25" t="n">
        <v>60</v>
      </c>
      <c r="G17" s="25" t="n">
        <v>60</v>
      </c>
      <c r="H17" s="25" t="n">
        <v>60</v>
      </c>
      <c r="I17" s="25" t="n">
        <v>60</v>
      </c>
      <c r="J17" s="25" t="n">
        <v>60</v>
      </c>
      <c r="K17" s="25" t="n">
        <v>60</v>
      </c>
      <c r="L17" s="25" t="n">
        <v>60</v>
      </c>
      <c r="M17" s="26" t="n">
        <v>60</v>
      </c>
      <c r="N17" s="26" t="n">
        <f aca="false">SUM(B17:M17)</f>
        <v>720</v>
      </c>
    </row>
    <row r="18" customFormat="false" ht="15.75" hidden="false" customHeight="true" outlineLevel="0" collapsed="false">
      <c r="A18" s="19" t="s">
        <v>30</v>
      </c>
      <c r="B18" s="25" t="n">
        <v>100</v>
      </c>
      <c r="C18" s="25" t="n">
        <v>100</v>
      </c>
      <c r="D18" s="25" t="n">
        <v>100</v>
      </c>
      <c r="E18" s="25" t="n">
        <v>100</v>
      </c>
      <c r="F18" s="25" t="n">
        <v>100</v>
      </c>
      <c r="G18" s="25" t="n">
        <v>100</v>
      </c>
      <c r="H18" s="25" t="n">
        <v>100</v>
      </c>
      <c r="I18" s="25" t="n">
        <v>100</v>
      </c>
      <c r="J18" s="25" t="n">
        <v>100</v>
      </c>
      <c r="K18" s="25" t="n">
        <v>100</v>
      </c>
      <c r="L18" s="25" t="n">
        <v>100</v>
      </c>
      <c r="M18" s="26" t="n">
        <v>100</v>
      </c>
      <c r="N18" s="26" t="n">
        <f aca="false">SUM(B18:M18)</f>
        <v>1200</v>
      </c>
    </row>
    <row r="19" customFormat="false" ht="15.75" hidden="false" customHeight="true" outlineLevel="0" collapsed="false">
      <c r="A19" s="27" t="s">
        <v>31</v>
      </c>
      <c r="B19" s="28" t="n">
        <f aca="false">SUM(B12:B18)</f>
        <v>6910</v>
      </c>
      <c r="C19" s="28" t="n">
        <f aca="false">SUM(C12:C18)</f>
        <v>6960</v>
      </c>
      <c r="D19" s="28" t="n">
        <f aca="false">SUM(D12:D18)</f>
        <v>7060</v>
      </c>
      <c r="E19" s="28" t="n">
        <f aca="false">SUM(E12:E18)</f>
        <v>7110</v>
      </c>
      <c r="F19" s="28" t="n">
        <f aca="false">SUM(F12:F18)</f>
        <v>7210</v>
      </c>
      <c r="G19" s="28" t="n">
        <f aca="false">SUM(G12:G18)</f>
        <v>7260</v>
      </c>
      <c r="H19" s="28" t="n">
        <f aca="false">SUM(H12:H18)</f>
        <v>7160</v>
      </c>
      <c r="I19" s="28" t="n">
        <f aca="false">SUM(I12:I18)</f>
        <v>6860</v>
      </c>
      <c r="J19" s="28" t="n">
        <f aca="false">SUM(J12:J18)</f>
        <v>7110</v>
      </c>
      <c r="K19" s="28" t="n">
        <f aca="false">SUM(K12:K18)</f>
        <v>7160</v>
      </c>
      <c r="L19" s="28" t="n">
        <f aca="false">SUM(L12:L18)</f>
        <v>7210</v>
      </c>
      <c r="M19" s="29" t="n">
        <f aca="false">SUM(M12:M18)</f>
        <v>7310</v>
      </c>
      <c r="N19" s="29" t="n">
        <f aca="false">SUM(B19:M19)</f>
        <v>85320</v>
      </c>
    </row>
    <row r="20" customFormat="false" ht="15.75" hidden="false" customHeight="true" outlineLevel="0" collapsed="false">
      <c r="A20" s="13" t="s">
        <v>32</v>
      </c>
      <c r="B20" s="16" t="n">
        <f aca="false">B11-B21-B12</f>
        <v>7399.17355371901</v>
      </c>
      <c r="C20" s="16" t="n">
        <f aca="false">C11-C21-C12</f>
        <v>7927.68595041322</v>
      </c>
      <c r="D20" s="16" t="n">
        <f aca="false">D11-D21-D12</f>
        <v>8984.71074380165</v>
      </c>
      <c r="E20" s="16" t="n">
        <f aca="false">E11-E21-E12</f>
        <v>9513.22314049587</v>
      </c>
      <c r="F20" s="16" t="n">
        <f aca="false">F11-F21-F12</f>
        <v>10570.2479338843</v>
      </c>
      <c r="G20" s="16" t="n">
        <f aca="false">G11-G21-G12</f>
        <v>11388.0165289256</v>
      </c>
      <c r="H20" s="16" t="n">
        <f aca="false">H11-H21-H12</f>
        <v>10041.7355371901</v>
      </c>
      <c r="I20" s="16" t="n">
        <f aca="false">I11-I21-I12</f>
        <v>6581.40495867769</v>
      </c>
      <c r="J20" s="16" t="n">
        <f aca="false">J11-J21-J12</f>
        <v>9513.22314049587</v>
      </c>
      <c r="K20" s="16" t="n">
        <f aca="false">K11-K21-K12</f>
        <v>10041.7355371901</v>
      </c>
      <c r="L20" s="16" t="n">
        <f aca="false">L11-L21-L12</f>
        <v>10280.9917355372</v>
      </c>
      <c r="M20" s="17" t="n">
        <f aca="false">M11-M21-M12</f>
        <v>11916.5289256198</v>
      </c>
      <c r="N20" s="17" t="n">
        <f aca="false">SUM(B20:M20)</f>
        <v>114158.67768595</v>
      </c>
    </row>
    <row r="21" customFormat="false" ht="15.75" hidden="false" customHeight="true" outlineLevel="0" collapsed="false">
      <c r="A21" s="30" t="s">
        <v>33</v>
      </c>
      <c r="B21" s="16" t="n">
        <f aca="false">B11*0.21/1.21</f>
        <v>1700.82644628099</v>
      </c>
      <c r="C21" s="16" t="n">
        <f aca="false">C11*0.21/1.21</f>
        <v>1822.31404958678</v>
      </c>
      <c r="D21" s="16" t="n">
        <f aca="false">D11*0.21/1.21</f>
        <v>2065.28925619835</v>
      </c>
      <c r="E21" s="16" t="n">
        <f aca="false">E11*0.21/1.21</f>
        <v>2186.77685950413</v>
      </c>
      <c r="F21" s="16" t="n">
        <f aca="false">F11*0.21/1.21</f>
        <v>2429.7520661157</v>
      </c>
      <c r="G21" s="16" t="n">
        <f aca="false">G11*0.21/1.21</f>
        <v>2611.98347107438</v>
      </c>
      <c r="H21" s="16" t="n">
        <f aca="false">H11*0.21/1.21</f>
        <v>2308.26446280992</v>
      </c>
      <c r="I21" s="16" t="n">
        <f aca="false">I11*0.21/1.21</f>
        <v>1518.59504132231</v>
      </c>
      <c r="J21" s="16" t="n">
        <f aca="false">J11*0.21/1.21</f>
        <v>2186.77685950413</v>
      </c>
      <c r="K21" s="16" t="n">
        <f aca="false">K11*0.21/1.21</f>
        <v>2308.26446280992</v>
      </c>
      <c r="L21" s="16" t="n">
        <f aca="false">L11*0.21/1.21</f>
        <v>2369.00826446281</v>
      </c>
      <c r="M21" s="17" t="n">
        <f aca="false">M11*0.21/1.21</f>
        <v>2733.47107438017</v>
      </c>
      <c r="N21" s="17" t="n">
        <f aca="false">SUM(B21:M21)</f>
        <v>26241.3223140496</v>
      </c>
    </row>
    <row r="22" customFormat="false" ht="15.75" hidden="false" customHeight="true" outlineLevel="0" collapsed="false">
      <c r="A22" s="30" t="s">
        <v>34</v>
      </c>
      <c r="B22" s="31" t="n">
        <f aca="false">B11-B21-B19</f>
        <v>1189.17355371901</v>
      </c>
      <c r="C22" s="31" t="n">
        <f aca="false">C11-C21-C19</f>
        <v>1717.68595041322</v>
      </c>
      <c r="D22" s="31" t="n">
        <f aca="false">D11-D21-D19</f>
        <v>2774.71074380165</v>
      </c>
      <c r="E22" s="31" t="n">
        <f aca="false">E11-E21-E19</f>
        <v>3303.22314049587</v>
      </c>
      <c r="F22" s="31" t="n">
        <f aca="false">F11-F21-F19</f>
        <v>4360.2479338843</v>
      </c>
      <c r="G22" s="31" t="n">
        <f aca="false">G11-G21-G19</f>
        <v>5178.01652892562</v>
      </c>
      <c r="H22" s="31" t="n">
        <f aca="false">H11-H21-H19</f>
        <v>3831.73553719008</v>
      </c>
      <c r="I22" s="31" t="n">
        <f aca="false">I11-I21-I19</f>
        <v>371.404958677686</v>
      </c>
      <c r="J22" s="31" t="n">
        <f aca="false">J11-J21-J19</f>
        <v>3303.22314049587</v>
      </c>
      <c r="K22" s="31" t="n">
        <f aca="false">K11-K21-K19</f>
        <v>3831.73553719008</v>
      </c>
      <c r="L22" s="31" t="n">
        <f aca="false">L11-L21-L19</f>
        <v>4070.99173553719</v>
      </c>
      <c r="M22" s="32" t="n">
        <f aca="false">M11-M21-M19</f>
        <v>5706.52892561983</v>
      </c>
      <c r="N22" s="32" t="n">
        <f aca="false">SUM(B22:M22)</f>
        <v>39638.6776859504</v>
      </c>
    </row>
    <row r="23" customFormat="false" ht="15.75" hidden="false" customHeight="true" outlineLevel="0" collapsed="false">
      <c r="A23" s="6" t="s">
        <v>35</v>
      </c>
      <c r="B23" s="33" t="n">
        <f aca="false">B22+B24+B25</f>
        <v>1189.17355371901</v>
      </c>
      <c r="C23" s="33" t="n">
        <f aca="false">C22+C24+C25</f>
        <v>1717.68595041322</v>
      </c>
      <c r="D23" s="33" t="n">
        <f aca="false">D22+D24+D25</f>
        <v>2774.71074380165</v>
      </c>
      <c r="E23" s="33" t="n">
        <f aca="false">E22+E24+E25</f>
        <v>3303.22314049587</v>
      </c>
      <c r="F23" s="33" t="n">
        <f aca="false">F22+F24+F25</f>
        <v>4360.2479338843</v>
      </c>
      <c r="G23" s="33" t="n">
        <f aca="false">G22+G24+G25</f>
        <v>5178.01652892562</v>
      </c>
      <c r="H23" s="33" t="n">
        <f aca="false">H22+H24+H25</f>
        <v>3831.73553719008</v>
      </c>
      <c r="I23" s="33" t="n">
        <f aca="false">I22+I24+I25</f>
        <v>371.404958677686</v>
      </c>
      <c r="J23" s="33" t="n">
        <f aca="false">J22+J24+J25</f>
        <v>3303.22314049587</v>
      </c>
      <c r="K23" s="33" t="n">
        <f aca="false">K22+K24+K25</f>
        <v>3831.73553719008</v>
      </c>
      <c r="L23" s="33" t="n">
        <f aca="false">L22+L24+L25</f>
        <v>4070.99173553719</v>
      </c>
      <c r="M23" s="34" t="n">
        <f aca="false">M22+M24+M25</f>
        <v>5706.52892561983</v>
      </c>
      <c r="N23" s="34" t="n">
        <f aca="false">SUM(B23:M23)</f>
        <v>39638.6776859504</v>
      </c>
    </row>
    <row r="24" customFormat="false" ht="15.75" hidden="false" customHeight="true" outlineLevel="0" collapsed="false">
      <c r="A24" s="19" t="s">
        <v>36</v>
      </c>
      <c r="B24" s="3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0</v>
      </c>
      <c r="K24" s="25" t="n">
        <v>0</v>
      </c>
      <c r="L24" s="25" t="n">
        <v>0</v>
      </c>
      <c r="M24" s="26" t="n">
        <v>0</v>
      </c>
      <c r="N24" s="26" t="n">
        <f aca="false">SUM(B24:M24)</f>
        <v>0</v>
      </c>
    </row>
    <row r="25" customFormat="false" ht="15.75" hidden="false" customHeight="true" outlineLevel="0" collapsed="false">
      <c r="A25" s="19" t="s">
        <v>37</v>
      </c>
      <c r="B25" s="25" t="n">
        <v>0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5" t="n">
        <v>0</v>
      </c>
      <c r="L25" s="25" t="n">
        <v>0</v>
      </c>
      <c r="M25" s="26" t="n">
        <v>0</v>
      </c>
      <c r="N25" s="26" t="n">
        <f aca="false">SUM(B25:M25)</f>
        <v>0</v>
      </c>
    </row>
    <row r="26" customFormat="false" ht="15.75" hidden="false" customHeight="true" outlineLevel="0" collapsed="false">
      <c r="A26" s="36" t="s">
        <v>38</v>
      </c>
      <c r="B26" s="37" t="n">
        <f aca="false">IF(B22&lt;0,B22,0)</f>
        <v>0</v>
      </c>
      <c r="C26" s="37" t="n">
        <f aca="false">IF(C22&lt;0,C22,0)</f>
        <v>0</v>
      </c>
      <c r="D26" s="37" t="n">
        <f aca="false">IF(D22&lt;0,D22,0)</f>
        <v>0</v>
      </c>
      <c r="E26" s="37" t="n">
        <f aca="false">IF(E22&lt;0,E22,0)</f>
        <v>0</v>
      </c>
      <c r="F26" s="37" t="n">
        <f aca="false">IF(F22&lt;0,F22,0)</f>
        <v>0</v>
      </c>
      <c r="G26" s="37" t="n">
        <f aca="false">IF(G22&lt;0,G22,0)</f>
        <v>0</v>
      </c>
      <c r="H26" s="37" t="n">
        <f aca="false">IF(H22&lt;0,H22,0)</f>
        <v>0</v>
      </c>
      <c r="I26" s="37" t="n">
        <f aca="false">IF(I22&lt;0,I22,0)</f>
        <v>0</v>
      </c>
      <c r="J26" s="37" t="n">
        <f aca="false">IF(J22&lt;0,J22,0)</f>
        <v>0</v>
      </c>
      <c r="K26" s="37" t="n">
        <f aca="false">IF(K22&lt;0,K22,0)</f>
        <v>0</v>
      </c>
      <c r="L26" s="37" t="n">
        <f aca="false">IF(L22&lt;0,L22,0)</f>
        <v>0</v>
      </c>
      <c r="M26" s="38" t="n">
        <f aca="false">IF(M22&lt;0,M22,0)</f>
        <v>0</v>
      </c>
      <c r="N26" s="38" t="n">
        <f aca="false">SUM(B26:M26)</f>
        <v>0</v>
      </c>
    </row>
    <row r="27" customFormat="false" ht="15.75" hidden="false" customHeight="true" outlineLevel="0" collapsed="false">
      <c r="A27" s="36" t="s">
        <v>39</v>
      </c>
      <c r="B27" s="39" t="n">
        <f aca="false">B23</f>
        <v>1189.17355371901</v>
      </c>
      <c r="C27" s="39" t="n">
        <f aca="false">B27+C23</f>
        <v>2906.85950413223</v>
      </c>
      <c r="D27" s="39" t="n">
        <f aca="false">C27+D23</f>
        <v>5681.57024793388</v>
      </c>
      <c r="E27" s="39" t="n">
        <f aca="false">D27+E23</f>
        <v>8984.79338842975</v>
      </c>
      <c r="F27" s="39" t="n">
        <f aca="false">E27+F23</f>
        <v>13345.0413223141</v>
      </c>
      <c r="G27" s="39" t="n">
        <f aca="false">F27+G23</f>
        <v>18523.0578512397</v>
      </c>
      <c r="H27" s="39" t="n">
        <f aca="false">G27+H23</f>
        <v>22354.7933884298</v>
      </c>
      <c r="I27" s="39" t="n">
        <f aca="false">H27+I23</f>
        <v>22726.1983471074</v>
      </c>
      <c r="J27" s="39" t="n">
        <f aca="false">I27+J23</f>
        <v>26029.4214876033</v>
      </c>
      <c r="K27" s="39" t="n">
        <f aca="false">J27+K23</f>
        <v>29861.1570247934</v>
      </c>
      <c r="L27" s="39" t="n">
        <f aca="false">K27+L23</f>
        <v>33932.1487603306</v>
      </c>
      <c r="M27" s="40" t="n">
        <f aca="false">L27+M23</f>
        <v>39638.6776859504</v>
      </c>
      <c r="N27" s="40" t="n">
        <f aca="false">M27</f>
        <v>39638.6776859504</v>
      </c>
    </row>
    <row r="28" customFormat="false" ht="15.75" hidden="false" customHeight="true" outlineLevel="0" collapsed="false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</row>
    <row r="29" customFormat="false" ht="15.75" hidden="false" customHeight="true" outlineLevel="0" collapsed="false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</row>
    <row r="30" customFormat="false" ht="15.75" hidden="false" customHeight="true" outlineLevel="0" collapsed="false">
      <c r="A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</row>
    <row r="31" customFormat="false" ht="15.75" hidden="false" customHeight="true" outlineLevel="0" collapsed="false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</row>
    <row r="32" customFormat="false" ht="15.75" hidden="false" customHeight="true" outlineLevel="0" collapsed="false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</row>
    <row r="33" customFormat="false" ht="15.75" hidden="false" customHeight="true" outlineLevel="0" collapsed="false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</row>
    <row r="34" customFormat="false" ht="15.75" hidden="false" customHeight="true" outlineLevel="0" collapsed="false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</row>
    <row r="35" customFormat="false" ht="15.75" hidden="false" customHeight="true" outlineLevel="0" collapsed="false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</row>
    <row r="36" customFormat="false" ht="15.75" hidden="false" customHeight="true" outlineLevel="0" collapsed="false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</row>
    <row r="37" customFormat="false" ht="15.75" hidden="false" customHeight="true" outlineLevel="0" collapsed="false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</row>
    <row r="38" customFormat="false" ht="15.75" hidden="false" customHeight="true" outlineLevel="0" collapsed="false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</row>
    <row r="39" customFormat="false" ht="15.75" hidden="false" customHeight="true" outlineLevel="0" collapsed="false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</row>
    <row r="40" customFormat="false" ht="15.75" hidden="false" customHeight="true" outlineLevel="0" collapsed="false">
      <c r="A40" s="41"/>
      <c r="B40" s="41"/>
      <c r="C40" s="41"/>
      <c r="D40" s="41"/>
      <c r="E40" s="41"/>
      <c r="F40" s="41"/>
      <c r="G40" s="41"/>
      <c r="H40" s="41"/>
      <c r="I40" s="41"/>
      <c r="J40" s="42"/>
      <c r="K40" s="41"/>
      <c r="L40" s="41"/>
      <c r="M40" s="43"/>
    </row>
    <row r="41" customFormat="false" ht="15.75" hidden="false" customHeight="true" outlineLevel="0" collapsed="false">
      <c r="A41" s="41"/>
      <c r="B41" s="41"/>
      <c r="C41" s="41"/>
      <c r="D41" s="41"/>
      <c r="E41" s="41"/>
      <c r="F41" s="41"/>
      <c r="G41" s="41"/>
      <c r="H41" s="41"/>
      <c r="I41" s="41"/>
      <c r="J41" s="42"/>
      <c r="K41" s="41"/>
      <c r="L41" s="41"/>
      <c r="M41" s="43"/>
    </row>
    <row r="42" customFormat="false" ht="15.75" hidden="false" customHeight="true" outlineLevel="0" collapsed="false">
      <c r="A42" s="41"/>
      <c r="B42" s="41"/>
      <c r="C42" s="41"/>
      <c r="D42" s="41"/>
      <c r="E42" s="41"/>
      <c r="F42" s="41"/>
      <c r="G42" s="41"/>
      <c r="H42" s="41"/>
      <c r="I42" s="41"/>
      <c r="J42" s="42"/>
      <c r="K42" s="41"/>
      <c r="L42" s="41"/>
      <c r="M42" s="43"/>
    </row>
    <row r="43" customFormat="false" ht="15.75" hidden="false" customHeight="true" outlineLevel="0" collapsed="false">
      <c r="A43" s="41"/>
      <c r="B43" s="41"/>
      <c r="C43" s="41"/>
      <c r="D43" s="41"/>
      <c r="E43" s="41"/>
      <c r="F43" s="41"/>
      <c r="G43" s="41"/>
      <c r="H43" s="41"/>
      <c r="I43" s="41"/>
      <c r="J43" s="42"/>
      <c r="K43" s="41"/>
      <c r="L43" s="41"/>
      <c r="M43" s="43"/>
    </row>
    <row r="44" customFormat="false" ht="15.75" hidden="false" customHeight="true" outlineLevel="0" collapsed="false">
      <c r="A44" s="41"/>
      <c r="B44" s="41"/>
      <c r="C44" s="41"/>
      <c r="D44" s="41"/>
      <c r="E44" s="41"/>
      <c r="F44" s="41"/>
      <c r="G44" s="41"/>
      <c r="H44" s="41"/>
      <c r="I44" s="41"/>
      <c r="J44" s="42"/>
      <c r="K44" s="41"/>
      <c r="L44" s="41"/>
      <c r="M44" s="43"/>
    </row>
    <row r="45" customFormat="false" ht="15.75" hidden="false" customHeight="true" outlineLevel="0" collapsed="false">
      <c r="A45" s="41"/>
      <c r="B45" s="41"/>
      <c r="C45" s="41"/>
      <c r="D45" s="41"/>
      <c r="E45" s="41"/>
      <c r="F45" s="41"/>
      <c r="G45" s="41"/>
      <c r="H45" s="41"/>
      <c r="I45" s="41"/>
      <c r="J45" s="42"/>
      <c r="K45" s="41"/>
      <c r="L45" s="41"/>
      <c r="M45" s="43"/>
    </row>
    <row r="46" customFormat="false" ht="15.75" hidden="false" customHeight="true" outlineLevel="0" collapsed="false">
      <c r="A46" s="41"/>
      <c r="B46" s="41"/>
      <c r="C46" s="41"/>
      <c r="D46" s="41"/>
      <c r="E46" s="41"/>
      <c r="F46" s="41"/>
      <c r="G46" s="41"/>
      <c r="H46" s="41"/>
      <c r="I46" s="41"/>
      <c r="J46" s="42"/>
      <c r="K46" s="41"/>
      <c r="L46" s="41"/>
      <c r="M46" s="43"/>
    </row>
    <row r="47" customFormat="false" ht="15.75" hidden="false" customHeight="true" outlineLevel="0" collapsed="false">
      <c r="A47" s="41"/>
      <c r="B47" s="41"/>
      <c r="C47" s="41"/>
      <c r="D47" s="41"/>
      <c r="E47" s="41"/>
      <c r="F47" s="41"/>
      <c r="G47" s="41"/>
      <c r="H47" s="41"/>
      <c r="I47" s="41"/>
      <c r="J47" s="42"/>
      <c r="K47" s="41"/>
      <c r="L47" s="41"/>
      <c r="M47" s="43"/>
    </row>
    <row r="48" customFormat="false" ht="15.75" hidden="false" customHeight="true" outlineLevel="0" collapsed="false">
      <c r="A48" s="41"/>
      <c r="B48" s="41"/>
      <c r="C48" s="41"/>
      <c r="D48" s="41"/>
      <c r="E48" s="41"/>
      <c r="F48" s="41"/>
      <c r="G48" s="41"/>
      <c r="H48" s="41"/>
      <c r="I48" s="41"/>
      <c r="J48" s="42"/>
      <c r="K48" s="41"/>
      <c r="L48" s="41"/>
      <c r="M48" s="43"/>
    </row>
    <row r="49" customFormat="false" ht="15.75" hidden="false" customHeight="true" outlineLevel="0" collapsed="false">
      <c r="A49" s="41"/>
      <c r="B49" s="41"/>
      <c r="C49" s="41"/>
      <c r="D49" s="41"/>
      <c r="E49" s="41"/>
      <c r="F49" s="41"/>
      <c r="G49" s="41"/>
      <c r="H49" s="41"/>
      <c r="I49" s="41"/>
      <c r="J49" s="42"/>
      <c r="K49" s="41"/>
      <c r="L49" s="41"/>
      <c r="M49" s="43"/>
    </row>
    <row r="50" customFormat="false" ht="15.75" hidden="false" customHeight="true" outlineLevel="0" collapsed="false">
      <c r="A50" s="41"/>
      <c r="B50" s="41"/>
      <c r="C50" s="41"/>
      <c r="D50" s="41"/>
      <c r="E50" s="41"/>
      <c r="F50" s="41"/>
      <c r="G50" s="41"/>
      <c r="H50" s="41"/>
      <c r="I50" s="41"/>
      <c r="J50" s="42"/>
      <c r="K50" s="41"/>
      <c r="L50" s="41"/>
      <c r="M50" s="43"/>
    </row>
    <row r="51" customFormat="false" ht="15.75" hidden="false" customHeight="true" outlineLevel="0" collapsed="false">
      <c r="A51" s="41"/>
      <c r="B51" s="41"/>
      <c r="C51" s="41"/>
      <c r="D51" s="41"/>
      <c r="E51" s="41"/>
      <c r="F51" s="41"/>
      <c r="G51" s="41"/>
      <c r="H51" s="41"/>
      <c r="I51" s="41"/>
      <c r="J51" s="42"/>
      <c r="K51" s="41"/>
      <c r="L51" s="41"/>
      <c r="M51" s="43"/>
    </row>
    <row r="52" customFormat="false" ht="15.75" hidden="false" customHeight="true" outlineLevel="0" collapsed="false">
      <c r="A52" s="41"/>
      <c r="B52" s="41"/>
      <c r="C52" s="41"/>
      <c r="D52" s="41"/>
      <c r="E52" s="41"/>
      <c r="F52" s="41"/>
      <c r="G52" s="41"/>
      <c r="H52" s="41"/>
      <c r="I52" s="41"/>
      <c r="J52" s="42"/>
      <c r="K52" s="41"/>
      <c r="L52" s="41"/>
      <c r="M52" s="43"/>
    </row>
    <row r="53" customFormat="false" ht="15.75" hidden="false" customHeight="true" outlineLevel="0" collapsed="false">
      <c r="A53" s="41"/>
      <c r="B53" s="41"/>
      <c r="C53" s="41"/>
      <c r="D53" s="41"/>
      <c r="E53" s="41"/>
      <c r="F53" s="41"/>
      <c r="G53" s="41"/>
      <c r="H53" s="41"/>
      <c r="I53" s="41"/>
      <c r="J53" s="42"/>
      <c r="K53" s="41"/>
      <c r="L53" s="41"/>
      <c r="M53" s="43"/>
    </row>
    <row r="54" customFormat="false" ht="15.75" hidden="false" customHeight="true" outlineLevel="0" collapsed="false">
      <c r="A54" s="41"/>
      <c r="B54" s="41"/>
      <c r="C54" s="41"/>
      <c r="D54" s="41"/>
      <c r="E54" s="41"/>
      <c r="F54" s="41"/>
      <c r="G54" s="41"/>
      <c r="H54" s="41"/>
      <c r="I54" s="41"/>
      <c r="J54" s="42"/>
      <c r="K54" s="41"/>
      <c r="L54" s="41"/>
      <c r="M54" s="43"/>
    </row>
    <row r="55" customFormat="false" ht="15.75" hidden="false" customHeight="true" outlineLevel="0" collapsed="false">
      <c r="A55" s="41"/>
      <c r="B55" s="41"/>
      <c r="C55" s="41"/>
      <c r="D55" s="41"/>
      <c r="E55" s="41"/>
      <c r="F55" s="41"/>
      <c r="G55" s="41"/>
      <c r="H55" s="41"/>
      <c r="I55" s="41"/>
      <c r="J55" s="42"/>
      <c r="K55" s="41"/>
      <c r="L55" s="41"/>
      <c r="M55" s="43"/>
    </row>
    <row r="56" customFormat="false" ht="15.75" hidden="false" customHeight="true" outlineLevel="0" collapsed="false">
      <c r="A56" s="41"/>
      <c r="B56" s="41"/>
      <c r="C56" s="41"/>
      <c r="D56" s="41"/>
      <c r="E56" s="41"/>
      <c r="F56" s="41"/>
      <c r="G56" s="41"/>
      <c r="H56" s="41"/>
      <c r="I56" s="41"/>
      <c r="J56" s="42"/>
      <c r="K56" s="41"/>
      <c r="L56" s="41"/>
      <c r="M56" s="43"/>
    </row>
    <row r="57" customFormat="false" ht="15.75" hidden="false" customHeight="true" outlineLevel="0" collapsed="false">
      <c r="A57" s="41"/>
      <c r="B57" s="41"/>
      <c r="C57" s="41"/>
      <c r="D57" s="41"/>
      <c r="E57" s="41"/>
      <c r="F57" s="41"/>
      <c r="G57" s="41"/>
      <c r="H57" s="41"/>
      <c r="I57" s="41"/>
      <c r="J57" s="42"/>
      <c r="K57" s="41"/>
      <c r="L57" s="41"/>
      <c r="M57" s="43"/>
    </row>
    <row r="58" customFormat="false" ht="15.75" hidden="false" customHeight="true" outlineLevel="0" collapsed="false">
      <c r="A58" s="41"/>
      <c r="B58" s="41"/>
      <c r="C58" s="41"/>
      <c r="D58" s="41"/>
      <c r="E58" s="41"/>
      <c r="F58" s="41"/>
      <c r="G58" s="41"/>
      <c r="H58" s="41"/>
      <c r="I58" s="41"/>
      <c r="J58" s="42"/>
      <c r="K58" s="41"/>
      <c r="L58" s="41"/>
      <c r="M58" s="43"/>
    </row>
    <row r="59" customFormat="false" ht="15.75" hidden="false" customHeight="true" outlineLevel="0" collapsed="false">
      <c r="A59" s="41"/>
      <c r="B59" s="41"/>
      <c r="C59" s="41"/>
      <c r="D59" s="41"/>
      <c r="E59" s="41"/>
      <c r="F59" s="41"/>
      <c r="G59" s="41"/>
      <c r="H59" s="41"/>
      <c r="I59" s="41"/>
      <c r="J59" s="42"/>
      <c r="K59" s="41"/>
      <c r="L59" s="41"/>
      <c r="M59" s="43"/>
    </row>
    <row r="60" customFormat="false" ht="15.75" hidden="false" customHeight="true" outlineLevel="0" collapsed="false">
      <c r="A60" s="41"/>
      <c r="B60" s="41"/>
      <c r="C60" s="41"/>
      <c r="D60" s="41"/>
      <c r="E60" s="41"/>
      <c r="F60" s="41"/>
      <c r="G60" s="41"/>
      <c r="H60" s="41"/>
      <c r="I60" s="41"/>
      <c r="J60" s="42"/>
      <c r="K60" s="41"/>
      <c r="L60" s="41"/>
      <c r="M60" s="43"/>
    </row>
    <row r="61" customFormat="false" ht="15.75" hidden="false" customHeight="true" outlineLevel="0" collapsed="false">
      <c r="A61" s="41"/>
      <c r="B61" s="41"/>
      <c r="C61" s="41"/>
      <c r="D61" s="41"/>
      <c r="E61" s="41"/>
      <c r="F61" s="41"/>
      <c r="G61" s="41"/>
      <c r="H61" s="41"/>
      <c r="I61" s="41"/>
      <c r="J61" s="42"/>
      <c r="K61" s="41"/>
      <c r="L61" s="41"/>
      <c r="M61" s="43"/>
    </row>
    <row r="62" customFormat="false" ht="15.75" hidden="false" customHeight="true" outlineLevel="0" collapsed="false">
      <c r="A62" s="41"/>
      <c r="B62" s="41"/>
      <c r="C62" s="41"/>
      <c r="D62" s="41"/>
      <c r="E62" s="41"/>
      <c r="F62" s="41"/>
      <c r="G62" s="41"/>
      <c r="H62" s="41"/>
      <c r="I62" s="41"/>
      <c r="J62" s="42"/>
      <c r="K62" s="41"/>
      <c r="L62" s="41"/>
      <c r="M62" s="43"/>
    </row>
    <row r="63" customFormat="false" ht="15.75" hidden="false" customHeight="true" outlineLevel="0" collapsed="false">
      <c r="A63" s="41"/>
      <c r="B63" s="41"/>
      <c r="C63" s="41"/>
      <c r="D63" s="41"/>
      <c r="E63" s="41"/>
      <c r="F63" s="41"/>
      <c r="G63" s="41"/>
      <c r="H63" s="41"/>
      <c r="I63" s="41"/>
      <c r="J63" s="42"/>
      <c r="K63" s="41"/>
      <c r="L63" s="41"/>
      <c r="M63" s="43"/>
    </row>
    <row r="64" customFormat="false" ht="15.75" hidden="false" customHeight="true" outlineLevel="0" collapsed="false">
      <c r="A64" s="41"/>
      <c r="B64" s="41"/>
      <c r="C64" s="41"/>
      <c r="D64" s="41"/>
      <c r="E64" s="41"/>
      <c r="F64" s="41"/>
      <c r="G64" s="41"/>
      <c r="H64" s="41"/>
      <c r="I64" s="41"/>
      <c r="J64" s="42"/>
      <c r="K64" s="41"/>
      <c r="L64" s="41"/>
      <c r="M64" s="43"/>
    </row>
    <row r="65" customFormat="false" ht="15.75" hidden="false" customHeight="true" outlineLevel="0" collapsed="false">
      <c r="A65" s="41"/>
      <c r="B65" s="41"/>
      <c r="C65" s="41"/>
      <c r="D65" s="41"/>
      <c r="E65" s="41"/>
      <c r="F65" s="41"/>
      <c r="G65" s="41"/>
      <c r="H65" s="41"/>
      <c r="I65" s="41"/>
      <c r="J65" s="42"/>
      <c r="K65" s="41"/>
      <c r="L65" s="41"/>
      <c r="M65" s="43"/>
    </row>
    <row r="66" customFormat="false" ht="15.75" hidden="false" customHeight="true" outlineLevel="0" collapsed="false">
      <c r="A66" s="41"/>
      <c r="B66" s="41"/>
      <c r="C66" s="41"/>
      <c r="D66" s="41"/>
      <c r="E66" s="41"/>
      <c r="F66" s="41"/>
      <c r="G66" s="41"/>
      <c r="H66" s="41"/>
      <c r="I66" s="41"/>
      <c r="J66" s="42"/>
      <c r="K66" s="41"/>
      <c r="L66" s="41"/>
      <c r="M66" s="43"/>
    </row>
    <row r="67" customFormat="false" ht="15.75" hidden="false" customHeight="true" outlineLevel="0" collapsed="false">
      <c r="A67" s="41"/>
      <c r="B67" s="41"/>
      <c r="C67" s="41"/>
      <c r="D67" s="41"/>
      <c r="E67" s="41"/>
      <c r="F67" s="41"/>
      <c r="G67" s="41"/>
      <c r="H67" s="41"/>
      <c r="I67" s="41"/>
      <c r="J67" s="42"/>
      <c r="K67" s="41"/>
      <c r="L67" s="41"/>
      <c r="M67" s="43"/>
    </row>
    <row r="68" customFormat="false" ht="15.75" hidden="false" customHeight="true" outlineLevel="0" collapsed="false">
      <c r="A68" s="41"/>
      <c r="B68" s="41"/>
      <c r="C68" s="41"/>
      <c r="D68" s="41"/>
      <c r="E68" s="41"/>
      <c r="F68" s="41"/>
      <c r="G68" s="41"/>
      <c r="H68" s="41"/>
      <c r="I68" s="41"/>
      <c r="J68" s="42"/>
      <c r="K68" s="41"/>
      <c r="L68" s="41"/>
      <c r="M68" s="43"/>
    </row>
    <row r="69" customFormat="false" ht="15.75" hidden="false" customHeight="true" outlineLevel="0" collapsed="false">
      <c r="A69" s="41"/>
      <c r="B69" s="41"/>
      <c r="C69" s="41"/>
      <c r="D69" s="41"/>
      <c r="E69" s="41"/>
      <c r="F69" s="41"/>
      <c r="G69" s="41"/>
      <c r="H69" s="41"/>
      <c r="I69" s="41"/>
      <c r="J69" s="42"/>
      <c r="K69" s="41"/>
      <c r="L69" s="41"/>
      <c r="M69" s="43"/>
    </row>
    <row r="70" customFormat="false" ht="15.75" hidden="false" customHeight="true" outlineLevel="0" collapsed="false">
      <c r="A70" s="41"/>
      <c r="B70" s="41"/>
      <c r="C70" s="41"/>
      <c r="D70" s="41"/>
      <c r="E70" s="41"/>
      <c r="F70" s="41"/>
      <c r="G70" s="41"/>
      <c r="H70" s="41"/>
      <c r="I70" s="41"/>
      <c r="J70" s="42"/>
      <c r="K70" s="41"/>
      <c r="L70" s="41"/>
      <c r="M70" s="43"/>
    </row>
    <row r="71" customFormat="false" ht="15.75" hidden="false" customHeight="true" outlineLevel="0" collapsed="false">
      <c r="A71" s="41"/>
      <c r="B71" s="41"/>
      <c r="C71" s="41"/>
      <c r="D71" s="41"/>
      <c r="E71" s="41"/>
      <c r="F71" s="41"/>
      <c r="G71" s="41"/>
      <c r="H71" s="41"/>
      <c r="I71" s="41"/>
      <c r="J71" s="42"/>
      <c r="K71" s="41"/>
      <c r="L71" s="41"/>
      <c r="M71" s="43"/>
    </row>
    <row r="72" customFormat="false" ht="15.75" hidden="false" customHeight="true" outlineLevel="0" collapsed="false">
      <c r="A72" s="41"/>
      <c r="B72" s="41"/>
      <c r="C72" s="41"/>
      <c r="D72" s="41"/>
      <c r="E72" s="41"/>
      <c r="F72" s="41"/>
      <c r="G72" s="41"/>
      <c r="H72" s="41"/>
      <c r="I72" s="41"/>
      <c r="J72" s="42"/>
      <c r="K72" s="41"/>
      <c r="L72" s="41"/>
      <c r="M72" s="43"/>
    </row>
    <row r="73" customFormat="false" ht="15.75" hidden="false" customHeight="true" outlineLevel="0" collapsed="false">
      <c r="A73" s="41"/>
      <c r="B73" s="41"/>
      <c r="C73" s="41"/>
      <c r="D73" s="41"/>
      <c r="E73" s="41"/>
      <c r="F73" s="41"/>
      <c r="G73" s="41"/>
      <c r="H73" s="41"/>
      <c r="I73" s="41"/>
      <c r="J73" s="42"/>
      <c r="K73" s="41"/>
      <c r="L73" s="41"/>
      <c r="M73" s="43"/>
    </row>
    <row r="74" customFormat="false" ht="15.75" hidden="false" customHeight="true" outlineLevel="0" collapsed="false">
      <c r="A74" s="41"/>
      <c r="B74" s="41"/>
      <c r="C74" s="41"/>
      <c r="D74" s="41"/>
      <c r="E74" s="41"/>
      <c r="F74" s="41"/>
      <c r="G74" s="41"/>
      <c r="H74" s="41"/>
      <c r="I74" s="41"/>
      <c r="J74" s="42"/>
      <c r="K74" s="41"/>
      <c r="L74" s="41"/>
      <c r="M74" s="43"/>
    </row>
    <row r="75" customFormat="false" ht="15.75" hidden="false" customHeight="true" outlineLevel="0" collapsed="false">
      <c r="A75" s="41"/>
      <c r="B75" s="41"/>
      <c r="C75" s="41"/>
      <c r="D75" s="41"/>
      <c r="E75" s="41"/>
      <c r="F75" s="41"/>
      <c r="G75" s="41"/>
      <c r="H75" s="41"/>
      <c r="I75" s="41"/>
      <c r="J75" s="42"/>
      <c r="K75" s="41"/>
      <c r="L75" s="41"/>
      <c r="M75" s="43"/>
    </row>
    <row r="76" customFormat="false" ht="15.75" hidden="false" customHeight="true" outlineLevel="0" collapsed="false">
      <c r="A76" s="41"/>
      <c r="B76" s="41"/>
      <c r="C76" s="41"/>
      <c r="D76" s="41"/>
      <c r="E76" s="41"/>
      <c r="F76" s="41"/>
      <c r="G76" s="41"/>
      <c r="H76" s="41"/>
      <c r="I76" s="41"/>
      <c r="J76" s="42"/>
      <c r="K76" s="41"/>
      <c r="L76" s="41"/>
      <c r="M76" s="43"/>
    </row>
    <row r="77" customFormat="false" ht="15.75" hidden="false" customHeight="true" outlineLevel="0" collapsed="false">
      <c r="A77" s="41"/>
      <c r="B77" s="41"/>
      <c r="C77" s="41"/>
      <c r="D77" s="41"/>
      <c r="E77" s="41"/>
      <c r="F77" s="41"/>
      <c r="G77" s="41"/>
      <c r="H77" s="41"/>
      <c r="I77" s="41"/>
      <c r="J77" s="42"/>
      <c r="K77" s="41"/>
      <c r="L77" s="41"/>
      <c r="M77" s="43"/>
    </row>
    <row r="78" customFormat="false" ht="15.75" hidden="false" customHeight="true" outlineLevel="0" collapsed="false">
      <c r="A78" s="41"/>
      <c r="B78" s="41"/>
      <c r="C78" s="41"/>
      <c r="D78" s="41"/>
      <c r="E78" s="41"/>
      <c r="F78" s="41"/>
      <c r="G78" s="41"/>
      <c r="H78" s="41"/>
      <c r="I78" s="41"/>
      <c r="J78" s="42"/>
      <c r="K78" s="41"/>
      <c r="L78" s="41"/>
      <c r="M78" s="43"/>
    </row>
    <row r="79" customFormat="false" ht="15.75" hidden="false" customHeight="true" outlineLevel="0" collapsed="false">
      <c r="A79" s="41"/>
      <c r="B79" s="41"/>
      <c r="C79" s="41"/>
      <c r="D79" s="41"/>
      <c r="E79" s="41"/>
      <c r="F79" s="41"/>
      <c r="G79" s="41"/>
      <c r="H79" s="41"/>
      <c r="I79" s="41"/>
      <c r="J79" s="42"/>
      <c r="K79" s="41"/>
      <c r="L79" s="41"/>
      <c r="M79" s="43"/>
    </row>
    <row r="80" customFormat="false" ht="15.75" hidden="false" customHeight="true" outlineLevel="0" collapsed="false">
      <c r="A80" s="41"/>
      <c r="B80" s="41"/>
      <c r="C80" s="41"/>
      <c r="D80" s="41"/>
      <c r="E80" s="41"/>
      <c r="F80" s="41"/>
      <c r="G80" s="41"/>
      <c r="H80" s="41"/>
      <c r="I80" s="41"/>
      <c r="J80" s="42"/>
      <c r="K80" s="41"/>
      <c r="L80" s="41"/>
      <c r="M80" s="43"/>
    </row>
    <row r="81" customFormat="false" ht="15.75" hidden="false" customHeight="true" outlineLevel="0" collapsed="false">
      <c r="A81" s="41"/>
      <c r="B81" s="41"/>
      <c r="C81" s="41"/>
      <c r="D81" s="41"/>
      <c r="E81" s="41"/>
      <c r="F81" s="41"/>
      <c r="G81" s="41"/>
      <c r="H81" s="41"/>
      <c r="I81" s="41"/>
      <c r="J81" s="42"/>
      <c r="K81" s="41"/>
      <c r="L81" s="41"/>
      <c r="M81" s="43"/>
    </row>
    <row r="82" customFormat="false" ht="15.75" hidden="false" customHeight="true" outlineLevel="0" collapsed="false">
      <c r="A82" s="41"/>
      <c r="B82" s="41"/>
      <c r="C82" s="41"/>
      <c r="D82" s="41"/>
      <c r="E82" s="41"/>
      <c r="F82" s="41"/>
      <c r="G82" s="41"/>
      <c r="H82" s="41"/>
      <c r="I82" s="41"/>
      <c r="J82" s="42"/>
      <c r="K82" s="41"/>
      <c r="L82" s="41"/>
      <c r="M82" s="43"/>
    </row>
    <row r="83" customFormat="false" ht="15.75" hidden="false" customHeight="true" outlineLevel="0" collapsed="false">
      <c r="A83" s="41"/>
      <c r="B83" s="41"/>
      <c r="C83" s="41"/>
      <c r="D83" s="41"/>
      <c r="E83" s="41"/>
      <c r="F83" s="41"/>
      <c r="G83" s="41"/>
      <c r="H83" s="41"/>
      <c r="I83" s="41"/>
      <c r="J83" s="42"/>
      <c r="K83" s="41"/>
      <c r="L83" s="41"/>
      <c r="M83" s="43"/>
    </row>
    <row r="84" customFormat="false" ht="15.75" hidden="false" customHeight="true" outlineLevel="0" collapsed="false">
      <c r="A84" s="41"/>
      <c r="B84" s="41"/>
      <c r="C84" s="41"/>
      <c r="D84" s="41"/>
      <c r="E84" s="41"/>
      <c r="F84" s="41"/>
      <c r="G84" s="41"/>
      <c r="H84" s="41"/>
      <c r="I84" s="41"/>
      <c r="J84" s="42"/>
      <c r="K84" s="41"/>
      <c r="L84" s="41"/>
      <c r="M84" s="43"/>
    </row>
    <row r="85" customFormat="false" ht="15.75" hidden="false" customHeight="true" outlineLevel="0" collapsed="false">
      <c r="A85" s="41"/>
      <c r="B85" s="41"/>
      <c r="C85" s="41"/>
      <c r="D85" s="41"/>
      <c r="E85" s="41"/>
      <c r="F85" s="41"/>
      <c r="G85" s="41"/>
      <c r="H85" s="41"/>
      <c r="I85" s="41"/>
      <c r="J85" s="42"/>
      <c r="K85" s="41"/>
      <c r="L85" s="41"/>
      <c r="M85" s="43"/>
    </row>
    <row r="86" customFormat="false" ht="15.75" hidden="false" customHeight="true" outlineLevel="0" collapsed="false">
      <c r="A86" s="41"/>
      <c r="B86" s="41"/>
      <c r="C86" s="41"/>
      <c r="D86" s="41"/>
      <c r="E86" s="41"/>
      <c r="F86" s="41"/>
      <c r="G86" s="41"/>
      <c r="H86" s="41"/>
      <c r="I86" s="41"/>
      <c r="J86" s="42"/>
      <c r="K86" s="41"/>
      <c r="L86" s="41"/>
      <c r="M86" s="43"/>
    </row>
    <row r="87" customFormat="false" ht="15.75" hidden="false" customHeight="true" outlineLevel="0" collapsed="false">
      <c r="A87" s="41"/>
      <c r="B87" s="41"/>
      <c r="C87" s="41"/>
      <c r="D87" s="41"/>
      <c r="E87" s="41"/>
      <c r="F87" s="41"/>
      <c r="G87" s="41"/>
      <c r="H87" s="41"/>
      <c r="I87" s="41"/>
      <c r="J87" s="42"/>
      <c r="K87" s="41"/>
      <c r="L87" s="41"/>
      <c r="M87" s="43"/>
    </row>
    <row r="88" customFormat="false" ht="15.75" hidden="false" customHeight="true" outlineLevel="0" collapsed="false">
      <c r="A88" s="41"/>
      <c r="B88" s="41"/>
      <c r="C88" s="41"/>
      <c r="D88" s="41"/>
      <c r="E88" s="41"/>
      <c r="F88" s="41"/>
      <c r="G88" s="41"/>
      <c r="H88" s="41"/>
      <c r="I88" s="41"/>
      <c r="J88" s="42"/>
      <c r="K88" s="41"/>
      <c r="L88" s="41"/>
      <c r="M88" s="43"/>
    </row>
    <row r="89" customFormat="false" ht="15.75" hidden="false" customHeight="true" outlineLevel="0" collapsed="false">
      <c r="A89" s="41"/>
      <c r="B89" s="41"/>
      <c r="C89" s="41"/>
      <c r="D89" s="41"/>
      <c r="E89" s="41"/>
      <c r="F89" s="41"/>
      <c r="G89" s="41"/>
      <c r="H89" s="41"/>
      <c r="I89" s="41"/>
      <c r="J89" s="42"/>
      <c r="K89" s="41"/>
      <c r="L89" s="41"/>
      <c r="M89" s="43"/>
    </row>
    <row r="90" customFormat="false" ht="15.75" hidden="false" customHeight="true" outlineLevel="0" collapsed="false">
      <c r="A90" s="41"/>
      <c r="B90" s="41"/>
      <c r="C90" s="41"/>
      <c r="D90" s="41"/>
      <c r="E90" s="41"/>
      <c r="F90" s="41"/>
      <c r="G90" s="41"/>
      <c r="H90" s="41"/>
      <c r="I90" s="41"/>
      <c r="J90" s="42"/>
      <c r="K90" s="41"/>
      <c r="L90" s="41"/>
      <c r="M90" s="43"/>
    </row>
    <row r="91" customFormat="false" ht="15.75" hidden="false" customHeight="true" outlineLevel="0" collapsed="false">
      <c r="A91" s="41"/>
      <c r="B91" s="41"/>
      <c r="C91" s="41"/>
      <c r="D91" s="41"/>
      <c r="E91" s="41"/>
      <c r="F91" s="41"/>
      <c r="G91" s="41"/>
      <c r="H91" s="41"/>
      <c r="I91" s="41"/>
      <c r="J91" s="42"/>
      <c r="K91" s="41"/>
      <c r="L91" s="41"/>
      <c r="M91" s="43"/>
    </row>
    <row r="92" customFormat="false" ht="15.75" hidden="false" customHeight="true" outlineLevel="0" collapsed="false">
      <c r="A92" s="41"/>
      <c r="B92" s="41"/>
      <c r="C92" s="41"/>
      <c r="D92" s="41"/>
      <c r="E92" s="41"/>
      <c r="F92" s="41"/>
      <c r="G92" s="41"/>
      <c r="H92" s="41"/>
      <c r="I92" s="41"/>
      <c r="J92" s="42"/>
      <c r="K92" s="41"/>
      <c r="L92" s="41"/>
      <c r="M92" s="43"/>
    </row>
    <row r="93" customFormat="false" ht="15.75" hidden="false" customHeight="true" outlineLevel="0" collapsed="false">
      <c r="A93" s="41"/>
      <c r="B93" s="41"/>
      <c r="C93" s="41"/>
      <c r="D93" s="41"/>
      <c r="E93" s="41"/>
      <c r="F93" s="41"/>
      <c r="G93" s="41"/>
      <c r="H93" s="41"/>
      <c r="I93" s="41"/>
      <c r="J93" s="42"/>
      <c r="K93" s="41"/>
      <c r="L93" s="41"/>
      <c r="M93" s="43"/>
    </row>
    <row r="94" customFormat="false" ht="15.75" hidden="false" customHeight="true" outlineLevel="0" collapsed="false">
      <c r="A94" s="41"/>
      <c r="B94" s="41"/>
      <c r="C94" s="41"/>
      <c r="D94" s="41"/>
      <c r="E94" s="41"/>
      <c r="F94" s="41"/>
      <c r="G94" s="41"/>
      <c r="H94" s="41"/>
      <c r="I94" s="41"/>
      <c r="J94" s="42"/>
      <c r="K94" s="41"/>
      <c r="L94" s="41"/>
      <c r="M94" s="43"/>
    </row>
    <row r="95" customFormat="false" ht="15.75" hidden="false" customHeight="true" outlineLevel="0" collapsed="false">
      <c r="A95" s="41"/>
      <c r="B95" s="41"/>
      <c r="C95" s="41"/>
      <c r="D95" s="41"/>
      <c r="E95" s="41"/>
      <c r="F95" s="41"/>
      <c r="G95" s="41"/>
      <c r="H95" s="41"/>
      <c r="I95" s="41"/>
      <c r="J95" s="42"/>
      <c r="K95" s="41"/>
      <c r="L95" s="41"/>
      <c r="M95" s="43"/>
    </row>
    <row r="96" customFormat="false" ht="15.75" hidden="false" customHeight="true" outlineLevel="0" collapsed="false">
      <c r="A96" s="41"/>
      <c r="B96" s="41"/>
      <c r="C96" s="41"/>
      <c r="D96" s="41"/>
      <c r="E96" s="41"/>
      <c r="F96" s="41"/>
      <c r="G96" s="41"/>
      <c r="H96" s="41"/>
      <c r="I96" s="41"/>
      <c r="J96" s="42"/>
      <c r="K96" s="41"/>
      <c r="L96" s="41"/>
      <c r="M96" s="43"/>
    </row>
    <row r="97" customFormat="false" ht="15.75" hidden="false" customHeight="true" outlineLevel="0" collapsed="false">
      <c r="A97" s="41"/>
      <c r="B97" s="41"/>
      <c r="C97" s="41"/>
      <c r="D97" s="41"/>
      <c r="E97" s="41"/>
      <c r="F97" s="41"/>
      <c r="G97" s="41"/>
      <c r="H97" s="41"/>
      <c r="I97" s="41"/>
      <c r="J97" s="42"/>
      <c r="K97" s="41"/>
      <c r="L97" s="41"/>
      <c r="M97" s="43"/>
    </row>
    <row r="98" customFormat="false" ht="15.75" hidden="false" customHeight="true" outlineLevel="0" collapsed="false">
      <c r="A98" s="41"/>
      <c r="B98" s="41"/>
      <c r="C98" s="41"/>
      <c r="D98" s="41"/>
      <c r="E98" s="41"/>
      <c r="F98" s="41"/>
      <c r="G98" s="41"/>
      <c r="H98" s="41"/>
      <c r="I98" s="41"/>
      <c r="J98" s="42"/>
      <c r="K98" s="41"/>
      <c r="L98" s="41"/>
      <c r="M98" s="43"/>
    </row>
    <row r="99" customFormat="false" ht="15.75" hidden="false" customHeight="true" outlineLevel="0" collapsed="false">
      <c r="A99" s="41"/>
      <c r="B99" s="41"/>
      <c r="C99" s="41"/>
      <c r="D99" s="41"/>
      <c r="E99" s="41"/>
      <c r="F99" s="41"/>
      <c r="G99" s="41"/>
      <c r="H99" s="41"/>
      <c r="I99" s="41"/>
      <c r="J99" s="42"/>
      <c r="K99" s="41"/>
      <c r="L99" s="41"/>
      <c r="M99" s="43"/>
    </row>
    <row r="100" customFormat="false" ht="15.75" hidden="false" customHeight="true" outlineLevel="0" collapsed="false">
      <c r="A100" s="41"/>
      <c r="B100" s="41"/>
      <c r="C100" s="41"/>
      <c r="D100" s="41"/>
      <c r="E100" s="41"/>
      <c r="F100" s="41"/>
      <c r="G100" s="41"/>
      <c r="H100" s="41"/>
      <c r="I100" s="41"/>
      <c r="J100" s="42"/>
      <c r="K100" s="41"/>
      <c r="L100" s="41"/>
      <c r="M100" s="43"/>
    </row>
    <row r="101" customFormat="false" ht="15.75" hidden="false" customHeight="true" outlineLevel="0" collapsed="false">
      <c r="A101" s="41"/>
      <c r="B101" s="41"/>
      <c r="C101" s="41"/>
      <c r="D101" s="41"/>
      <c r="E101" s="41"/>
      <c r="F101" s="41"/>
      <c r="G101" s="41"/>
      <c r="H101" s="41"/>
      <c r="I101" s="41"/>
      <c r="J101" s="42"/>
      <c r="K101" s="41"/>
      <c r="L101" s="41"/>
      <c r="M101" s="43"/>
    </row>
    <row r="102" customFormat="false" ht="15.75" hidden="false" customHeight="true" outlineLevel="0" collapsed="false">
      <c r="A102" s="41"/>
      <c r="B102" s="41"/>
      <c r="C102" s="41"/>
      <c r="D102" s="41"/>
      <c r="E102" s="41"/>
      <c r="F102" s="41"/>
      <c r="G102" s="41"/>
      <c r="H102" s="41"/>
      <c r="I102" s="41"/>
      <c r="J102" s="42"/>
      <c r="K102" s="41"/>
      <c r="L102" s="41"/>
      <c r="M102" s="43"/>
    </row>
    <row r="103" customFormat="false" ht="15.75" hidden="false" customHeight="true" outlineLevel="0" collapsed="false">
      <c r="A103" s="41"/>
      <c r="B103" s="41"/>
      <c r="C103" s="41"/>
      <c r="D103" s="41"/>
      <c r="E103" s="41"/>
      <c r="F103" s="41"/>
      <c r="G103" s="41"/>
      <c r="H103" s="41"/>
      <c r="I103" s="41"/>
      <c r="J103" s="42"/>
      <c r="K103" s="41"/>
      <c r="L103" s="41"/>
      <c r="M103" s="43"/>
    </row>
    <row r="104" customFormat="false" ht="15.75" hidden="false" customHeight="true" outlineLevel="0" collapsed="false">
      <c r="A104" s="41"/>
      <c r="B104" s="41"/>
      <c r="C104" s="41"/>
      <c r="D104" s="41"/>
      <c r="E104" s="41"/>
      <c r="F104" s="41"/>
      <c r="G104" s="41"/>
      <c r="H104" s="41"/>
      <c r="I104" s="41"/>
      <c r="J104" s="42"/>
      <c r="K104" s="41"/>
      <c r="L104" s="41"/>
      <c r="M104" s="43"/>
    </row>
    <row r="105" customFormat="false" ht="15.75" hidden="false" customHeight="true" outlineLevel="0" collapsed="false">
      <c r="A105" s="41"/>
      <c r="B105" s="41"/>
      <c r="C105" s="41"/>
      <c r="D105" s="41"/>
      <c r="E105" s="41"/>
      <c r="F105" s="41"/>
      <c r="G105" s="41"/>
      <c r="H105" s="41"/>
      <c r="I105" s="41"/>
      <c r="J105" s="42"/>
      <c r="K105" s="41"/>
      <c r="L105" s="41"/>
      <c r="M105" s="43"/>
    </row>
    <row r="106" customFormat="false" ht="15.75" hidden="false" customHeight="true" outlineLevel="0" collapsed="false">
      <c r="A106" s="41"/>
      <c r="B106" s="41"/>
      <c r="C106" s="41"/>
      <c r="D106" s="41"/>
      <c r="E106" s="41"/>
      <c r="F106" s="41"/>
      <c r="G106" s="41"/>
      <c r="H106" s="41"/>
      <c r="I106" s="41"/>
      <c r="J106" s="42"/>
      <c r="K106" s="41"/>
      <c r="L106" s="41"/>
      <c r="M106" s="43"/>
    </row>
    <row r="107" customFormat="false" ht="15.75" hidden="false" customHeight="true" outlineLevel="0" collapsed="false">
      <c r="A107" s="41"/>
      <c r="B107" s="41"/>
      <c r="C107" s="41"/>
      <c r="D107" s="41"/>
      <c r="E107" s="41"/>
      <c r="F107" s="41"/>
      <c r="G107" s="41"/>
      <c r="H107" s="41"/>
      <c r="I107" s="41"/>
      <c r="J107" s="42"/>
      <c r="K107" s="41"/>
      <c r="L107" s="41"/>
      <c r="M107" s="43"/>
    </row>
    <row r="108" customFormat="false" ht="15.75" hidden="false" customHeight="true" outlineLevel="0" collapsed="false">
      <c r="A108" s="41"/>
      <c r="B108" s="41"/>
      <c r="C108" s="41"/>
      <c r="D108" s="41"/>
      <c r="E108" s="41"/>
      <c r="F108" s="41"/>
      <c r="G108" s="41"/>
      <c r="H108" s="41"/>
      <c r="I108" s="41"/>
      <c r="J108" s="42"/>
      <c r="K108" s="41"/>
      <c r="L108" s="41"/>
      <c r="M108" s="43"/>
    </row>
    <row r="109" customFormat="false" ht="15.75" hidden="false" customHeight="true" outlineLevel="0" collapsed="false">
      <c r="A109" s="41"/>
      <c r="B109" s="41"/>
      <c r="C109" s="41"/>
      <c r="D109" s="41"/>
      <c r="E109" s="41"/>
      <c r="F109" s="41"/>
      <c r="G109" s="41"/>
      <c r="H109" s="41"/>
      <c r="I109" s="41"/>
      <c r="J109" s="42"/>
      <c r="K109" s="41"/>
      <c r="L109" s="41"/>
      <c r="M109" s="43"/>
    </row>
    <row r="110" customFormat="false" ht="15.75" hidden="false" customHeight="true" outlineLevel="0" collapsed="false">
      <c r="A110" s="41"/>
      <c r="B110" s="41"/>
      <c r="C110" s="41"/>
      <c r="D110" s="41"/>
      <c r="E110" s="41"/>
      <c r="F110" s="41"/>
      <c r="G110" s="41"/>
      <c r="H110" s="41"/>
      <c r="I110" s="41"/>
      <c r="J110" s="42"/>
      <c r="K110" s="41"/>
      <c r="L110" s="41"/>
      <c r="M110" s="43"/>
    </row>
    <row r="111" customFormat="false" ht="15.75" hidden="false" customHeight="true" outlineLevel="0" collapsed="false">
      <c r="A111" s="41"/>
      <c r="B111" s="41"/>
      <c r="C111" s="41"/>
      <c r="D111" s="41"/>
      <c r="E111" s="41"/>
      <c r="F111" s="41"/>
      <c r="G111" s="41"/>
      <c r="H111" s="41"/>
      <c r="I111" s="41"/>
      <c r="J111" s="42"/>
      <c r="K111" s="41"/>
      <c r="L111" s="41"/>
      <c r="M111" s="43"/>
    </row>
    <row r="112" customFormat="false" ht="15.75" hidden="false" customHeight="true" outlineLevel="0" collapsed="false">
      <c r="A112" s="41"/>
      <c r="B112" s="41"/>
      <c r="C112" s="41"/>
      <c r="D112" s="41"/>
      <c r="E112" s="41"/>
      <c r="F112" s="41"/>
      <c r="G112" s="41"/>
      <c r="H112" s="41"/>
      <c r="I112" s="41"/>
      <c r="J112" s="42"/>
      <c r="K112" s="41"/>
      <c r="L112" s="41"/>
      <c r="M112" s="43"/>
    </row>
    <row r="113" customFormat="false" ht="15.75" hidden="false" customHeight="true" outlineLevel="0" collapsed="false">
      <c r="A113" s="41"/>
      <c r="B113" s="41"/>
      <c r="C113" s="41"/>
      <c r="D113" s="41"/>
      <c r="E113" s="41"/>
      <c r="F113" s="41"/>
      <c r="G113" s="41"/>
      <c r="H113" s="41"/>
      <c r="I113" s="41"/>
      <c r="J113" s="42"/>
      <c r="K113" s="41"/>
      <c r="L113" s="41"/>
      <c r="M113" s="43"/>
    </row>
    <row r="114" customFormat="false" ht="15.75" hidden="false" customHeight="true" outlineLevel="0" collapsed="false">
      <c r="A114" s="41"/>
      <c r="B114" s="41"/>
      <c r="C114" s="41"/>
      <c r="D114" s="41"/>
      <c r="E114" s="41"/>
      <c r="F114" s="41"/>
      <c r="G114" s="41"/>
      <c r="H114" s="41"/>
      <c r="I114" s="41"/>
      <c r="J114" s="42"/>
      <c r="K114" s="41"/>
      <c r="L114" s="41"/>
      <c r="M114" s="43"/>
    </row>
    <row r="115" customFormat="false" ht="15.75" hidden="false" customHeight="true" outlineLevel="0" collapsed="false">
      <c r="A115" s="41"/>
      <c r="B115" s="41"/>
      <c r="C115" s="41"/>
      <c r="D115" s="41"/>
      <c r="E115" s="41"/>
      <c r="F115" s="41"/>
      <c r="G115" s="41"/>
      <c r="H115" s="41"/>
      <c r="I115" s="41"/>
      <c r="J115" s="42"/>
      <c r="K115" s="41"/>
      <c r="L115" s="41"/>
      <c r="M115" s="43"/>
    </row>
    <row r="116" customFormat="false" ht="15.75" hidden="false" customHeight="true" outlineLevel="0" collapsed="false">
      <c r="A116" s="41"/>
      <c r="B116" s="41"/>
      <c r="C116" s="41"/>
      <c r="D116" s="41"/>
      <c r="E116" s="41"/>
      <c r="F116" s="41"/>
      <c r="G116" s="41"/>
      <c r="H116" s="41"/>
      <c r="I116" s="41"/>
      <c r="J116" s="42"/>
      <c r="K116" s="41"/>
      <c r="L116" s="41"/>
      <c r="M116" s="43"/>
    </row>
    <row r="117" customFormat="false" ht="15.75" hidden="false" customHeight="true" outlineLevel="0" collapsed="false">
      <c r="A117" s="41"/>
      <c r="B117" s="41"/>
      <c r="C117" s="41"/>
      <c r="D117" s="41"/>
      <c r="E117" s="41"/>
      <c r="F117" s="41"/>
      <c r="G117" s="41"/>
      <c r="H117" s="41"/>
      <c r="I117" s="41"/>
      <c r="J117" s="42"/>
      <c r="K117" s="41"/>
      <c r="L117" s="41"/>
      <c r="M117" s="43"/>
    </row>
    <row r="118" customFormat="false" ht="15.75" hidden="false" customHeight="true" outlineLevel="0" collapsed="false">
      <c r="A118" s="41"/>
      <c r="B118" s="41"/>
      <c r="C118" s="41"/>
      <c r="D118" s="41"/>
      <c r="E118" s="41"/>
      <c r="F118" s="41"/>
      <c r="G118" s="41"/>
      <c r="H118" s="41"/>
      <c r="I118" s="41"/>
      <c r="J118" s="42"/>
      <c r="K118" s="41"/>
      <c r="L118" s="41"/>
      <c r="M118" s="43"/>
    </row>
    <row r="119" customFormat="false" ht="15.75" hidden="false" customHeight="true" outlineLevel="0" collapsed="false">
      <c r="A119" s="41"/>
      <c r="B119" s="41"/>
      <c r="C119" s="41"/>
      <c r="D119" s="41"/>
      <c r="E119" s="41"/>
      <c r="F119" s="41"/>
      <c r="G119" s="41"/>
      <c r="H119" s="41"/>
      <c r="I119" s="41"/>
      <c r="J119" s="42"/>
      <c r="K119" s="41"/>
      <c r="L119" s="41"/>
      <c r="M119" s="43"/>
    </row>
    <row r="120" customFormat="false" ht="15.75" hidden="false" customHeight="true" outlineLevel="0" collapsed="false">
      <c r="A120" s="41"/>
      <c r="B120" s="41"/>
      <c r="C120" s="41"/>
      <c r="D120" s="41"/>
      <c r="E120" s="41"/>
      <c r="F120" s="41"/>
      <c r="G120" s="41"/>
      <c r="H120" s="41"/>
      <c r="I120" s="41"/>
      <c r="J120" s="42"/>
      <c r="K120" s="41"/>
      <c r="L120" s="41"/>
      <c r="M120" s="43"/>
    </row>
    <row r="121" customFormat="false" ht="15.75" hidden="false" customHeight="true" outlineLevel="0" collapsed="false">
      <c r="A121" s="41"/>
      <c r="B121" s="41"/>
      <c r="C121" s="41"/>
      <c r="D121" s="41"/>
      <c r="E121" s="41"/>
      <c r="F121" s="41"/>
      <c r="G121" s="41"/>
      <c r="H121" s="41"/>
      <c r="I121" s="41"/>
      <c r="J121" s="42"/>
      <c r="K121" s="41"/>
      <c r="L121" s="41"/>
      <c r="M121" s="43"/>
    </row>
    <row r="122" customFormat="false" ht="15.75" hidden="false" customHeight="true" outlineLevel="0" collapsed="false">
      <c r="A122" s="41"/>
      <c r="B122" s="41"/>
      <c r="C122" s="41"/>
      <c r="D122" s="41"/>
      <c r="E122" s="41"/>
      <c r="F122" s="41"/>
      <c r="G122" s="41"/>
      <c r="H122" s="41"/>
      <c r="I122" s="41"/>
      <c r="J122" s="42"/>
      <c r="K122" s="41"/>
      <c r="L122" s="41"/>
      <c r="M122" s="43"/>
    </row>
    <row r="123" customFormat="false" ht="15.75" hidden="false" customHeight="true" outlineLevel="0" collapsed="false">
      <c r="A123" s="41"/>
      <c r="B123" s="41"/>
      <c r="C123" s="41"/>
      <c r="D123" s="41"/>
      <c r="E123" s="41"/>
      <c r="F123" s="41"/>
      <c r="G123" s="41"/>
      <c r="H123" s="41"/>
      <c r="I123" s="41"/>
      <c r="J123" s="42"/>
      <c r="K123" s="41"/>
      <c r="L123" s="41"/>
      <c r="M123" s="43"/>
    </row>
    <row r="124" customFormat="false" ht="15.75" hidden="false" customHeight="true" outlineLevel="0" collapsed="false">
      <c r="A124" s="41"/>
      <c r="B124" s="41"/>
      <c r="C124" s="41"/>
      <c r="D124" s="41"/>
      <c r="E124" s="41"/>
      <c r="F124" s="41"/>
      <c r="G124" s="41"/>
      <c r="H124" s="41"/>
      <c r="I124" s="41"/>
      <c r="J124" s="42"/>
      <c r="K124" s="41"/>
      <c r="L124" s="41"/>
      <c r="M124" s="43"/>
    </row>
    <row r="125" customFormat="false" ht="15.75" hidden="false" customHeight="true" outlineLevel="0" collapsed="false">
      <c r="A125" s="41"/>
      <c r="B125" s="41"/>
      <c r="C125" s="41"/>
      <c r="D125" s="41"/>
      <c r="E125" s="41"/>
      <c r="F125" s="41"/>
      <c r="G125" s="41"/>
      <c r="H125" s="41"/>
      <c r="I125" s="41"/>
      <c r="J125" s="42"/>
      <c r="K125" s="41"/>
      <c r="L125" s="41"/>
      <c r="M125" s="43"/>
    </row>
    <row r="126" customFormat="false" ht="15.75" hidden="false" customHeight="true" outlineLevel="0" collapsed="false">
      <c r="A126" s="41"/>
      <c r="B126" s="41"/>
      <c r="C126" s="41"/>
      <c r="D126" s="41"/>
      <c r="E126" s="41"/>
      <c r="F126" s="41"/>
      <c r="G126" s="41"/>
      <c r="H126" s="41"/>
      <c r="I126" s="41"/>
      <c r="J126" s="42"/>
      <c r="K126" s="41"/>
      <c r="L126" s="41"/>
      <c r="M126" s="43"/>
    </row>
    <row r="127" customFormat="false" ht="15.75" hidden="false" customHeight="true" outlineLevel="0" collapsed="false">
      <c r="A127" s="41"/>
      <c r="B127" s="41"/>
      <c r="C127" s="41"/>
      <c r="D127" s="41"/>
      <c r="E127" s="41"/>
      <c r="F127" s="41"/>
      <c r="G127" s="41"/>
      <c r="H127" s="41"/>
      <c r="I127" s="41"/>
      <c r="J127" s="42"/>
      <c r="K127" s="41"/>
      <c r="L127" s="41"/>
      <c r="M127" s="43"/>
    </row>
    <row r="128" customFormat="false" ht="15.75" hidden="false" customHeight="true" outlineLevel="0" collapsed="false">
      <c r="A128" s="41"/>
      <c r="B128" s="41"/>
      <c r="C128" s="41"/>
      <c r="D128" s="41"/>
      <c r="E128" s="41"/>
      <c r="F128" s="41"/>
      <c r="G128" s="41"/>
      <c r="H128" s="41"/>
      <c r="I128" s="41"/>
      <c r="J128" s="42"/>
      <c r="K128" s="41"/>
      <c r="L128" s="41"/>
      <c r="M128" s="43"/>
    </row>
    <row r="129" customFormat="false" ht="15.75" hidden="false" customHeight="true" outlineLevel="0" collapsed="false">
      <c r="A129" s="41"/>
      <c r="B129" s="41"/>
      <c r="C129" s="41"/>
      <c r="D129" s="41"/>
      <c r="E129" s="41"/>
      <c r="F129" s="41"/>
      <c r="G129" s="41"/>
      <c r="H129" s="41"/>
      <c r="I129" s="41"/>
      <c r="J129" s="42"/>
      <c r="K129" s="41"/>
      <c r="L129" s="41"/>
      <c r="M129" s="43"/>
    </row>
    <row r="130" customFormat="false" ht="15.75" hidden="false" customHeight="true" outlineLevel="0" collapsed="false">
      <c r="A130" s="41"/>
      <c r="B130" s="41"/>
      <c r="C130" s="41"/>
      <c r="D130" s="41"/>
      <c r="E130" s="41"/>
      <c r="F130" s="41"/>
      <c r="G130" s="41"/>
      <c r="H130" s="41"/>
      <c r="I130" s="41"/>
      <c r="J130" s="42"/>
      <c r="K130" s="41"/>
      <c r="L130" s="41"/>
      <c r="M130" s="43"/>
    </row>
    <row r="131" customFormat="false" ht="15.75" hidden="false" customHeight="true" outlineLevel="0" collapsed="false">
      <c r="A131" s="41"/>
      <c r="B131" s="41"/>
      <c r="C131" s="41"/>
      <c r="D131" s="41"/>
      <c r="E131" s="41"/>
      <c r="F131" s="41"/>
      <c r="G131" s="41"/>
      <c r="H131" s="41"/>
      <c r="I131" s="41"/>
      <c r="J131" s="42"/>
      <c r="K131" s="41"/>
      <c r="L131" s="41"/>
      <c r="M131" s="43"/>
    </row>
    <row r="132" customFormat="false" ht="15.75" hidden="false" customHeight="true" outlineLevel="0" collapsed="false">
      <c r="A132" s="41"/>
      <c r="B132" s="41"/>
      <c r="C132" s="41"/>
      <c r="D132" s="41"/>
      <c r="E132" s="41"/>
      <c r="F132" s="41"/>
      <c r="G132" s="41"/>
      <c r="H132" s="41"/>
      <c r="I132" s="41"/>
      <c r="J132" s="42"/>
      <c r="K132" s="41"/>
      <c r="L132" s="41"/>
      <c r="M132" s="43"/>
    </row>
    <row r="133" customFormat="false" ht="15.75" hidden="false" customHeight="true" outlineLevel="0" collapsed="false">
      <c r="A133" s="41"/>
      <c r="B133" s="41"/>
      <c r="C133" s="41"/>
      <c r="D133" s="41"/>
      <c r="E133" s="41"/>
      <c r="F133" s="41"/>
      <c r="G133" s="41"/>
      <c r="H133" s="41"/>
      <c r="I133" s="41"/>
      <c r="J133" s="42"/>
      <c r="K133" s="41"/>
      <c r="L133" s="41"/>
      <c r="M133" s="43"/>
    </row>
    <row r="134" customFormat="false" ht="15.75" hidden="false" customHeight="true" outlineLevel="0" collapsed="false">
      <c r="A134" s="41"/>
      <c r="B134" s="41"/>
      <c r="C134" s="41"/>
      <c r="D134" s="41"/>
      <c r="E134" s="41"/>
      <c r="F134" s="41"/>
      <c r="G134" s="41"/>
      <c r="H134" s="41"/>
      <c r="I134" s="41"/>
      <c r="J134" s="42"/>
      <c r="K134" s="41"/>
      <c r="L134" s="41"/>
      <c r="M134" s="43"/>
    </row>
    <row r="135" customFormat="false" ht="15.75" hidden="false" customHeight="true" outlineLevel="0" collapsed="false">
      <c r="A135" s="41"/>
      <c r="B135" s="41"/>
      <c r="C135" s="41"/>
      <c r="D135" s="41"/>
      <c r="E135" s="41"/>
      <c r="F135" s="41"/>
      <c r="G135" s="41"/>
      <c r="H135" s="41"/>
      <c r="I135" s="41"/>
      <c r="J135" s="42"/>
      <c r="K135" s="41"/>
      <c r="L135" s="41"/>
      <c r="M135" s="43"/>
    </row>
    <row r="136" customFormat="false" ht="15.75" hidden="false" customHeight="true" outlineLevel="0" collapsed="false">
      <c r="A136" s="41"/>
      <c r="B136" s="41"/>
      <c r="C136" s="41"/>
      <c r="D136" s="41"/>
      <c r="E136" s="41"/>
      <c r="F136" s="41"/>
      <c r="G136" s="41"/>
      <c r="H136" s="41"/>
      <c r="I136" s="41"/>
      <c r="J136" s="42"/>
      <c r="K136" s="41"/>
      <c r="L136" s="41"/>
      <c r="M136" s="43"/>
    </row>
    <row r="137" customFormat="false" ht="15.75" hidden="false" customHeight="true" outlineLevel="0" collapsed="false">
      <c r="A137" s="41"/>
      <c r="B137" s="41"/>
      <c r="C137" s="41"/>
      <c r="D137" s="41"/>
      <c r="E137" s="41"/>
      <c r="F137" s="41"/>
      <c r="G137" s="41"/>
      <c r="H137" s="41"/>
      <c r="I137" s="41"/>
      <c r="J137" s="42"/>
      <c r="K137" s="41"/>
      <c r="L137" s="41"/>
      <c r="M137" s="43"/>
    </row>
    <row r="138" customFormat="false" ht="15.75" hidden="false" customHeight="true" outlineLevel="0" collapsed="false">
      <c r="A138" s="41"/>
      <c r="B138" s="41"/>
      <c r="C138" s="41"/>
      <c r="D138" s="41"/>
      <c r="E138" s="41"/>
      <c r="F138" s="41"/>
      <c r="G138" s="41"/>
      <c r="H138" s="41"/>
      <c r="I138" s="41"/>
      <c r="J138" s="42"/>
      <c r="K138" s="41"/>
      <c r="L138" s="41"/>
      <c r="M138" s="43"/>
    </row>
    <row r="139" customFormat="false" ht="15.75" hidden="false" customHeight="true" outlineLevel="0" collapsed="false">
      <c r="A139" s="41"/>
      <c r="B139" s="41"/>
      <c r="C139" s="41"/>
      <c r="D139" s="41"/>
      <c r="E139" s="41"/>
      <c r="F139" s="41"/>
      <c r="G139" s="41"/>
      <c r="H139" s="41"/>
      <c r="I139" s="41"/>
      <c r="J139" s="42"/>
      <c r="K139" s="41"/>
      <c r="L139" s="41"/>
      <c r="M139" s="43"/>
    </row>
    <row r="140" customFormat="false" ht="15.75" hidden="false" customHeight="true" outlineLevel="0" collapsed="false">
      <c r="A140" s="41"/>
      <c r="B140" s="41"/>
      <c r="C140" s="41"/>
      <c r="D140" s="41"/>
      <c r="E140" s="41"/>
      <c r="F140" s="41"/>
      <c r="G140" s="41"/>
      <c r="H140" s="41"/>
      <c r="I140" s="41"/>
      <c r="J140" s="42"/>
      <c r="K140" s="41"/>
      <c r="L140" s="41"/>
      <c r="M140" s="43"/>
    </row>
    <row r="141" customFormat="false" ht="15.75" hidden="false" customHeight="true" outlineLevel="0" collapsed="false">
      <c r="A141" s="41"/>
      <c r="B141" s="41"/>
      <c r="C141" s="41"/>
      <c r="D141" s="41"/>
      <c r="E141" s="41"/>
      <c r="F141" s="41"/>
      <c r="G141" s="41"/>
      <c r="H141" s="41"/>
      <c r="I141" s="41"/>
      <c r="J141" s="42"/>
      <c r="K141" s="41"/>
      <c r="L141" s="41"/>
      <c r="M141" s="43"/>
    </row>
    <row r="142" customFormat="false" ht="15.75" hidden="false" customHeight="true" outlineLevel="0" collapsed="false">
      <c r="A142" s="41"/>
      <c r="B142" s="41"/>
      <c r="C142" s="41"/>
      <c r="D142" s="41"/>
      <c r="E142" s="41"/>
      <c r="F142" s="41"/>
      <c r="G142" s="41"/>
      <c r="H142" s="41"/>
      <c r="I142" s="41"/>
      <c r="J142" s="42"/>
      <c r="K142" s="41"/>
      <c r="L142" s="41"/>
      <c r="M142" s="43"/>
    </row>
    <row r="143" customFormat="false" ht="15.75" hidden="false" customHeight="true" outlineLevel="0" collapsed="false">
      <c r="A143" s="41"/>
      <c r="B143" s="41"/>
      <c r="C143" s="41"/>
      <c r="D143" s="41"/>
      <c r="E143" s="41"/>
      <c r="F143" s="41"/>
      <c r="G143" s="41"/>
      <c r="H143" s="41"/>
      <c r="I143" s="41"/>
      <c r="J143" s="42"/>
      <c r="K143" s="41"/>
      <c r="L143" s="41"/>
      <c r="M143" s="43"/>
    </row>
    <row r="144" customFormat="false" ht="15.75" hidden="false" customHeight="true" outlineLevel="0" collapsed="false">
      <c r="A144" s="41"/>
      <c r="B144" s="41"/>
      <c r="C144" s="41"/>
      <c r="D144" s="41"/>
      <c r="E144" s="41"/>
      <c r="F144" s="41"/>
      <c r="G144" s="41"/>
      <c r="H144" s="41"/>
      <c r="I144" s="41"/>
      <c r="J144" s="42"/>
      <c r="K144" s="41"/>
      <c r="L144" s="41"/>
      <c r="M144" s="43"/>
    </row>
    <row r="145" customFormat="false" ht="15.75" hidden="false" customHeight="true" outlineLevel="0" collapsed="false">
      <c r="A145" s="41"/>
      <c r="B145" s="41"/>
      <c r="C145" s="41"/>
      <c r="D145" s="41"/>
      <c r="E145" s="41"/>
      <c r="F145" s="41"/>
      <c r="G145" s="41"/>
      <c r="H145" s="41"/>
      <c r="I145" s="41"/>
      <c r="J145" s="42"/>
      <c r="K145" s="41"/>
      <c r="L145" s="41"/>
      <c r="M145" s="43"/>
    </row>
    <row r="146" customFormat="false" ht="15.75" hidden="false" customHeight="true" outlineLevel="0" collapsed="false">
      <c r="A146" s="41"/>
      <c r="B146" s="41"/>
      <c r="C146" s="41"/>
      <c r="D146" s="41"/>
      <c r="E146" s="41"/>
      <c r="F146" s="41"/>
      <c r="G146" s="41"/>
      <c r="H146" s="41"/>
      <c r="I146" s="41"/>
      <c r="J146" s="42"/>
      <c r="K146" s="41"/>
      <c r="L146" s="41"/>
      <c r="M146" s="43"/>
    </row>
    <row r="147" customFormat="false" ht="15.75" hidden="false" customHeight="true" outlineLevel="0" collapsed="false">
      <c r="A147" s="41"/>
      <c r="B147" s="41"/>
      <c r="C147" s="41"/>
      <c r="D147" s="41"/>
      <c r="E147" s="41"/>
      <c r="F147" s="41"/>
      <c r="G147" s="41"/>
      <c r="H147" s="41"/>
      <c r="I147" s="41"/>
      <c r="J147" s="42"/>
      <c r="K147" s="41"/>
      <c r="L147" s="41"/>
      <c r="M147" s="43"/>
    </row>
    <row r="148" customFormat="false" ht="15.75" hidden="false" customHeight="true" outlineLevel="0" collapsed="false">
      <c r="A148" s="41"/>
      <c r="B148" s="41"/>
      <c r="C148" s="41"/>
      <c r="D148" s="41"/>
      <c r="E148" s="41"/>
      <c r="F148" s="41"/>
      <c r="G148" s="41"/>
      <c r="H148" s="41"/>
      <c r="I148" s="41"/>
      <c r="J148" s="42"/>
      <c r="K148" s="41"/>
      <c r="L148" s="41"/>
      <c r="M148" s="43"/>
    </row>
    <row r="149" customFormat="false" ht="15.75" hidden="false" customHeight="true" outlineLevel="0" collapsed="false">
      <c r="A149" s="41"/>
      <c r="B149" s="41"/>
      <c r="C149" s="41"/>
      <c r="D149" s="41"/>
      <c r="E149" s="41"/>
      <c r="F149" s="41"/>
      <c r="G149" s="41"/>
      <c r="H149" s="41"/>
      <c r="I149" s="41"/>
      <c r="J149" s="42"/>
      <c r="K149" s="41"/>
      <c r="L149" s="41"/>
      <c r="M149" s="43"/>
    </row>
    <row r="150" customFormat="false" ht="15.75" hidden="false" customHeight="true" outlineLevel="0" collapsed="false">
      <c r="A150" s="41"/>
      <c r="B150" s="41"/>
      <c r="C150" s="41"/>
      <c r="D150" s="41"/>
      <c r="E150" s="41"/>
      <c r="F150" s="41"/>
      <c r="G150" s="41"/>
      <c r="H150" s="41"/>
      <c r="I150" s="41"/>
      <c r="J150" s="42"/>
      <c r="K150" s="41"/>
      <c r="L150" s="41"/>
      <c r="M150" s="43"/>
    </row>
    <row r="151" customFormat="false" ht="15.75" hidden="false" customHeight="true" outlineLevel="0" collapsed="false">
      <c r="A151" s="41"/>
      <c r="B151" s="41"/>
      <c r="C151" s="41"/>
      <c r="D151" s="41"/>
      <c r="E151" s="41"/>
      <c r="F151" s="41"/>
      <c r="G151" s="41"/>
      <c r="H151" s="41"/>
      <c r="I151" s="41"/>
      <c r="J151" s="42"/>
      <c r="K151" s="41"/>
      <c r="L151" s="41"/>
      <c r="M151" s="43"/>
    </row>
    <row r="152" customFormat="false" ht="15.75" hidden="false" customHeight="true" outlineLevel="0" collapsed="false">
      <c r="A152" s="41"/>
      <c r="B152" s="41"/>
      <c r="C152" s="41"/>
      <c r="D152" s="41"/>
      <c r="E152" s="41"/>
      <c r="F152" s="41"/>
      <c r="G152" s="41"/>
      <c r="H152" s="41"/>
      <c r="I152" s="41"/>
      <c r="J152" s="42"/>
      <c r="K152" s="41"/>
      <c r="L152" s="41"/>
      <c r="M152" s="43"/>
    </row>
    <row r="153" customFormat="false" ht="15.75" hidden="false" customHeight="true" outlineLevel="0" collapsed="false">
      <c r="A153" s="41"/>
      <c r="B153" s="41"/>
      <c r="C153" s="41"/>
      <c r="D153" s="41"/>
      <c r="E153" s="41"/>
      <c r="F153" s="41"/>
      <c r="G153" s="41"/>
      <c r="H153" s="41"/>
      <c r="I153" s="41"/>
      <c r="J153" s="42"/>
      <c r="K153" s="41"/>
      <c r="L153" s="41"/>
      <c r="M153" s="43"/>
    </row>
    <row r="154" customFormat="false" ht="15.75" hidden="false" customHeight="true" outlineLevel="0" collapsed="false">
      <c r="A154" s="41"/>
      <c r="B154" s="41"/>
      <c r="C154" s="41"/>
      <c r="D154" s="41"/>
      <c r="E154" s="41"/>
      <c r="F154" s="41"/>
      <c r="G154" s="41"/>
      <c r="H154" s="41"/>
      <c r="I154" s="41"/>
      <c r="J154" s="42"/>
      <c r="K154" s="41"/>
      <c r="L154" s="41"/>
      <c r="M154" s="43"/>
    </row>
    <row r="155" customFormat="false" ht="15.75" hidden="false" customHeight="true" outlineLevel="0" collapsed="false">
      <c r="A155" s="41"/>
      <c r="B155" s="41"/>
      <c r="C155" s="41"/>
      <c r="D155" s="41"/>
      <c r="E155" s="41"/>
      <c r="F155" s="41"/>
      <c r="G155" s="41"/>
      <c r="H155" s="41"/>
      <c r="I155" s="41"/>
      <c r="J155" s="42"/>
      <c r="K155" s="41"/>
      <c r="L155" s="41"/>
      <c r="M155" s="43"/>
    </row>
    <row r="156" customFormat="false" ht="15.75" hidden="false" customHeight="true" outlineLevel="0" collapsed="false">
      <c r="A156" s="41"/>
      <c r="B156" s="41"/>
      <c r="C156" s="41"/>
      <c r="D156" s="41"/>
      <c r="E156" s="41"/>
      <c r="F156" s="41"/>
      <c r="G156" s="41"/>
      <c r="H156" s="41"/>
      <c r="I156" s="41"/>
      <c r="J156" s="42"/>
      <c r="K156" s="41"/>
      <c r="L156" s="41"/>
      <c r="M156" s="43"/>
    </row>
    <row r="157" customFormat="false" ht="15.75" hidden="false" customHeight="true" outlineLevel="0" collapsed="false">
      <c r="A157" s="41"/>
      <c r="B157" s="41"/>
      <c r="C157" s="41"/>
      <c r="D157" s="41"/>
      <c r="E157" s="41"/>
      <c r="F157" s="41"/>
      <c r="G157" s="41"/>
      <c r="H157" s="41"/>
      <c r="I157" s="41"/>
      <c r="J157" s="42"/>
      <c r="K157" s="41"/>
      <c r="L157" s="41"/>
      <c r="M157" s="43"/>
    </row>
    <row r="158" customFormat="false" ht="15.75" hidden="false" customHeight="true" outlineLevel="0" collapsed="false">
      <c r="A158" s="41"/>
      <c r="B158" s="41"/>
      <c r="C158" s="41"/>
      <c r="D158" s="41"/>
      <c r="E158" s="41"/>
      <c r="F158" s="41"/>
      <c r="G158" s="41"/>
      <c r="H158" s="41"/>
      <c r="I158" s="41"/>
      <c r="J158" s="42"/>
      <c r="K158" s="41"/>
      <c r="L158" s="41"/>
      <c r="M158" s="43"/>
    </row>
    <row r="159" customFormat="false" ht="15.75" hidden="false" customHeight="true" outlineLevel="0" collapsed="false">
      <c r="A159" s="41"/>
      <c r="B159" s="41"/>
      <c r="C159" s="41"/>
      <c r="D159" s="41"/>
      <c r="E159" s="41"/>
      <c r="F159" s="41"/>
      <c r="G159" s="41"/>
      <c r="H159" s="41"/>
      <c r="I159" s="41"/>
      <c r="J159" s="42"/>
      <c r="K159" s="41"/>
      <c r="L159" s="41"/>
      <c r="M159" s="43"/>
    </row>
    <row r="160" customFormat="false" ht="15.75" hidden="false" customHeight="true" outlineLevel="0" collapsed="false">
      <c r="A160" s="41"/>
      <c r="B160" s="41"/>
      <c r="C160" s="41"/>
      <c r="D160" s="41"/>
      <c r="E160" s="41"/>
      <c r="F160" s="41"/>
      <c r="G160" s="41"/>
      <c r="H160" s="41"/>
      <c r="I160" s="41"/>
      <c r="J160" s="42"/>
      <c r="K160" s="41"/>
      <c r="L160" s="41"/>
      <c r="M160" s="43"/>
    </row>
    <row r="161" customFormat="false" ht="15.75" hidden="false" customHeight="true" outlineLevel="0" collapsed="false">
      <c r="A161" s="41"/>
      <c r="B161" s="41"/>
      <c r="C161" s="41"/>
      <c r="D161" s="41"/>
      <c r="E161" s="41"/>
      <c r="F161" s="41"/>
      <c r="G161" s="41"/>
      <c r="H161" s="41"/>
      <c r="I161" s="41"/>
      <c r="J161" s="42"/>
      <c r="K161" s="41"/>
      <c r="L161" s="41"/>
      <c r="M161" s="43"/>
    </row>
    <row r="162" customFormat="false" ht="15.75" hidden="false" customHeight="true" outlineLevel="0" collapsed="false">
      <c r="A162" s="41"/>
      <c r="B162" s="41"/>
      <c r="C162" s="41"/>
      <c r="D162" s="41"/>
      <c r="E162" s="41"/>
      <c r="F162" s="41"/>
      <c r="G162" s="41"/>
      <c r="H162" s="41"/>
      <c r="I162" s="41"/>
      <c r="J162" s="42"/>
      <c r="K162" s="41"/>
      <c r="L162" s="41"/>
      <c r="M162" s="43"/>
    </row>
    <row r="163" customFormat="false" ht="15.75" hidden="false" customHeight="true" outlineLevel="0" collapsed="false">
      <c r="A163" s="41"/>
      <c r="B163" s="41"/>
      <c r="C163" s="41"/>
      <c r="D163" s="41"/>
      <c r="E163" s="41"/>
      <c r="F163" s="41"/>
      <c r="G163" s="41"/>
      <c r="H163" s="41"/>
      <c r="I163" s="41"/>
      <c r="J163" s="42"/>
      <c r="K163" s="41"/>
      <c r="L163" s="41"/>
      <c r="M163" s="43"/>
    </row>
    <row r="164" customFormat="false" ht="15.75" hidden="false" customHeight="true" outlineLevel="0" collapsed="false">
      <c r="A164" s="41"/>
      <c r="B164" s="41"/>
      <c r="C164" s="41"/>
      <c r="D164" s="41"/>
      <c r="E164" s="41"/>
      <c r="F164" s="41"/>
      <c r="G164" s="41"/>
      <c r="H164" s="41"/>
      <c r="I164" s="41"/>
      <c r="J164" s="42"/>
      <c r="K164" s="41"/>
      <c r="L164" s="41"/>
      <c r="M164" s="43"/>
    </row>
    <row r="165" customFormat="false" ht="15.75" hidden="false" customHeight="true" outlineLevel="0" collapsed="false">
      <c r="A165" s="41"/>
      <c r="B165" s="41"/>
      <c r="C165" s="41"/>
      <c r="D165" s="41"/>
      <c r="E165" s="41"/>
      <c r="F165" s="41"/>
      <c r="G165" s="41"/>
      <c r="H165" s="41"/>
      <c r="I165" s="41"/>
      <c r="J165" s="42"/>
      <c r="K165" s="41"/>
      <c r="L165" s="41"/>
      <c r="M165" s="43"/>
    </row>
    <row r="166" customFormat="false" ht="15.75" hidden="false" customHeight="true" outlineLevel="0" collapsed="false">
      <c r="A166" s="41"/>
      <c r="B166" s="41"/>
      <c r="C166" s="41"/>
      <c r="D166" s="41"/>
      <c r="E166" s="41"/>
      <c r="F166" s="41"/>
      <c r="G166" s="41"/>
      <c r="H166" s="41"/>
      <c r="I166" s="41"/>
      <c r="J166" s="42"/>
      <c r="K166" s="41"/>
      <c r="L166" s="41"/>
      <c r="M166" s="43"/>
    </row>
    <row r="167" customFormat="false" ht="15.75" hidden="false" customHeight="true" outlineLevel="0" collapsed="false">
      <c r="A167" s="41"/>
      <c r="B167" s="41"/>
      <c r="C167" s="41"/>
      <c r="D167" s="41"/>
      <c r="E167" s="41"/>
      <c r="F167" s="41"/>
      <c r="G167" s="41"/>
      <c r="H167" s="41"/>
      <c r="I167" s="41"/>
      <c r="J167" s="42"/>
      <c r="K167" s="41"/>
      <c r="L167" s="41"/>
      <c r="M167" s="43"/>
    </row>
    <row r="168" customFormat="false" ht="15.75" hidden="false" customHeight="true" outlineLevel="0" collapsed="false">
      <c r="A168" s="41"/>
      <c r="B168" s="41"/>
      <c r="C168" s="41"/>
      <c r="D168" s="41"/>
      <c r="E168" s="41"/>
      <c r="F168" s="41"/>
      <c r="G168" s="41"/>
      <c r="H168" s="41"/>
      <c r="I168" s="41"/>
      <c r="J168" s="42"/>
      <c r="K168" s="41"/>
      <c r="L168" s="41"/>
      <c r="M168" s="43"/>
    </row>
    <row r="169" customFormat="false" ht="15.75" hidden="false" customHeight="true" outlineLevel="0" collapsed="false">
      <c r="A169" s="41"/>
      <c r="B169" s="41"/>
      <c r="C169" s="41"/>
      <c r="D169" s="41"/>
      <c r="E169" s="41"/>
      <c r="F169" s="41"/>
      <c r="G169" s="41"/>
      <c r="H169" s="41"/>
      <c r="I169" s="41"/>
      <c r="J169" s="42"/>
      <c r="K169" s="41"/>
      <c r="L169" s="41"/>
      <c r="M169" s="43"/>
    </row>
    <row r="170" customFormat="false" ht="15.75" hidden="false" customHeight="true" outlineLevel="0" collapsed="false">
      <c r="A170" s="41"/>
      <c r="B170" s="41"/>
      <c r="C170" s="41"/>
      <c r="D170" s="41"/>
      <c r="E170" s="41"/>
      <c r="F170" s="41"/>
      <c r="G170" s="41"/>
      <c r="H170" s="41"/>
      <c r="I170" s="41"/>
      <c r="J170" s="42"/>
      <c r="K170" s="41"/>
      <c r="L170" s="41"/>
      <c r="M170" s="43"/>
    </row>
    <row r="171" customFormat="false" ht="15.75" hidden="false" customHeight="true" outlineLevel="0" collapsed="false">
      <c r="A171" s="41"/>
      <c r="B171" s="41"/>
      <c r="C171" s="41"/>
      <c r="D171" s="41"/>
      <c r="E171" s="41"/>
      <c r="F171" s="41"/>
      <c r="G171" s="41"/>
      <c r="H171" s="41"/>
      <c r="I171" s="41"/>
      <c r="J171" s="42"/>
      <c r="K171" s="41"/>
      <c r="L171" s="41"/>
      <c r="M171" s="43"/>
    </row>
    <row r="172" customFormat="false" ht="15.75" hidden="false" customHeight="true" outlineLevel="0" collapsed="false">
      <c r="A172" s="41"/>
      <c r="B172" s="41"/>
      <c r="C172" s="41"/>
      <c r="D172" s="41"/>
      <c r="E172" s="41"/>
      <c r="F172" s="41"/>
      <c r="G172" s="41"/>
      <c r="H172" s="41"/>
      <c r="I172" s="41"/>
      <c r="J172" s="42"/>
      <c r="K172" s="41"/>
      <c r="L172" s="41"/>
      <c r="M172" s="43"/>
    </row>
    <row r="173" customFormat="false" ht="15.75" hidden="false" customHeight="true" outlineLevel="0" collapsed="false">
      <c r="A173" s="41"/>
      <c r="B173" s="41"/>
      <c r="C173" s="41"/>
      <c r="D173" s="41"/>
      <c r="E173" s="41"/>
      <c r="F173" s="41"/>
      <c r="G173" s="41"/>
      <c r="H173" s="41"/>
      <c r="I173" s="41"/>
      <c r="J173" s="42"/>
      <c r="K173" s="41"/>
      <c r="L173" s="41"/>
      <c r="M173" s="43"/>
    </row>
    <row r="174" customFormat="false" ht="15.75" hidden="false" customHeight="true" outlineLevel="0" collapsed="false">
      <c r="A174" s="41"/>
      <c r="B174" s="41"/>
      <c r="C174" s="41"/>
      <c r="D174" s="41"/>
      <c r="E174" s="41"/>
      <c r="F174" s="41"/>
      <c r="G174" s="41"/>
      <c r="H174" s="41"/>
      <c r="I174" s="41"/>
      <c r="J174" s="42"/>
      <c r="K174" s="41"/>
      <c r="L174" s="41"/>
      <c r="M174" s="43"/>
    </row>
    <row r="175" customFormat="false" ht="15.75" hidden="false" customHeight="true" outlineLevel="0" collapsed="false">
      <c r="A175" s="41"/>
      <c r="B175" s="41"/>
      <c r="C175" s="41"/>
      <c r="D175" s="41"/>
      <c r="E175" s="41"/>
      <c r="F175" s="41"/>
      <c r="G175" s="41"/>
      <c r="H175" s="41"/>
      <c r="I175" s="41"/>
      <c r="J175" s="42"/>
      <c r="K175" s="41"/>
      <c r="L175" s="41"/>
      <c r="M175" s="43"/>
    </row>
    <row r="176" customFormat="false" ht="15.75" hidden="false" customHeight="true" outlineLevel="0" collapsed="false">
      <c r="A176" s="41"/>
      <c r="B176" s="41"/>
      <c r="C176" s="41"/>
      <c r="D176" s="41"/>
      <c r="E176" s="41"/>
      <c r="F176" s="41"/>
      <c r="G176" s="41"/>
      <c r="H176" s="41"/>
      <c r="I176" s="41"/>
      <c r="J176" s="42"/>
      <c r="K176" s="41"/>
      <c r="L176" s="41"/>
      <c r="M176" s="43"/>
    </row>
    <row r="177" customFormat="false" ht="15.75" hidden="false" customHeight="true" outlineLevel="0" collapsed="false">
      <c r="A177" s="41"/>
      <c r="B177" s="41"/>
      <c r="C177" s="41"/>
      <c r="D177" s="41"/>
      <c r="E177" s="41"/>
      <c r="F177" s="41"/>
      <c r="G177" s="41"/>
      <c r="H177" s="41"/>
      <c r="I177" s="41"/>
      <c r="J177" s="42"/>
      <c r="K177" s="41"/>
      <c r="L177" s="41"/>
      <c r="M177" s="43"/>
    </row>
    <row r="178" customFormat="false" ht="15.75" hidden="false" customHeight="true" outlineLevel="0" collapsed="false">
      <c r="A178" s="41"/>
      <c r="B178" s="41"/>
      <c r="C178" s="41"/>
      <c r="D178" s="41"/>
      <c r="E178" s="41"/>
      <c r="F178" s="41"/>
      <c r="G178" s="41"/>
      <c r="H178" s="41"/>
      <c r="I178" s="41"/>
      <c r="J178" s="42"/>
      <c r="K178" s="41"/>
      <c r="L178" s="41"/>
      <c r="M178" s="43"/>
    </row>
    <row r="179" customFormat="false" ht="15.75" hidden="false" customHeight="true" outlineLevel="0" collapsed="false">
      <c r="A179" s="41"/>
      <c r="B179" s="41"/>
      <c r="C179" s="41"/>
      <c r="D179" s="41"/>
      <c r="E179" s="41"/>
      <c r="F179" s="41"/>
      <c r="G179" s="41"/>
      <c r="H179" s="41"/>
      <c r="I179" s="41"/>
      <c r="J179" s="42"/>
      <c r="K179" s="41"/>
      <c r="L179" s="41"/>
      <c r="M179" s="43"/>
    </row>
    <row r="180" customFormat="false" ht="15.75" hidden="false" customHeight="true" outlineLevel="0" collapsed="false">
      <c r="A180" s="41"/>
      <c r="B180" s="41"/>
      <c r="C180" s="41"/>
      <c r="D180" s="41"/>
      <c r="E180" s="41"/>
      <c r="F180" s="41"/>
      <c r="G180" s="41"/>
      <c r="H180" s="41"/>
      <c r="I180" s="41"/>
      <c r="J180" s="42"/>
      <c r="K180" s="41"/>
      <c r="L180" s="41"/>
      <c r="M180" s="43"/>
    </row>
    <row r="181" customFormat="false" ht="15.75" hidden="false" customHeight="true" outlineLevel="0" collapsed="false">
      <c r="A181" s="41"/>
      <c r="B181" s="41"/>
      <c r="C181" s="41"/>
      <c r="D181" s="41"/>
      <c r="E181" s="41"/>
      <c r="F181" s="41"/>
      <c r="G181" s="41"/>
      <c r="H181" s="41"/>
      <c r="I181" s="41"/>
      <c r="J181" s="42"/>
      <c r="K181" s="41"/>
      <c r="L181" s="41"/>
      <c r="M181" s="43"/>
    </row>
    <row r="182" customFormat="false" ht="15.75" hidden="false" customHeight="true" outlineLevel="0" collapsed="false">
      <c r="A182" s="41"/>
      <c r="B182" s="41"/>
      <c r="C182" s="41"/>
      <c r="D182" s="41"/>
      <c r="E182" s="41"/>
      <c r="F182" s="41"/>
      <c r="G182" s="41"/>
      <c r="H182" s="41"/>
      <c r="I182" s="41"/>
      <c r="J182" s="42"/>
      <c r="K182" s="41"/>
      <c r="L182" s="41"/>
      <c r="M182" s="43"/>
    </row>
    <row r="183" customFormat="false" ht="15.75" hidden="false" customHeight="true" outlineLevel="0" collapsed="false">
      <c r="A183" s="41"/>
      <c r="B183" s="41"/>
      <c r="C183" s="41"/>
      <c r="D183" s="41"/>
      <c r="E183" s="41"/>
      <c r="F183" s="41"/>
      <c r="G183" s="41"/>
      <c r="H183" s="41"/>
      <c r="I183" s="41"/>
      <c r="J183" s="42"/>
      <c r="K183" s="41"/>
      <c r="L183" s="41"/>
      <c r="M183" s="43"/>
    </row>
    <row r="184" customFormat="false" ht="15.75" hidden="false" customHeight="true" outlineLevel="0" collapsed="false">
      <c r="A184" s="41"/>
      <c r="B184" s="41"/>
      <c r="C184" s="41"/>
      <c r="D184" s="41"/>
      <c r="E184" s="41"/>
      <c r="F184" s="41"/>
      <c r="G184" s="41"/>
      <c r="H184" s="41"/>
      <c r="I184" s="41"/>
      <c r="J184" s="42"/>
      <c r="K184" s="41"/>
      <c r="L184" s="41"/>
      <c r="M184" s="43"/>
    </row>
    <row r="185" customFormat="false" ht="15.75" hidden="false" customHeight="true" outlineLevel="0" collapsed="false">
      <c r="A185" s="41"/>
      <c r="B185" s="41"/>
      <c r="C185" s="41"/>
      <c r="D185" s="41"/>
      <c r="E185" s="41"/>
      <c r="F185" s="41"/>
      <c r="G185" s="41"/>
      <c r="H185" s="41"/>
      <c r="I185" s="41"/>
      <c r="J185" s="42"/>
      <c r="K185" s="41"/>
      <c r="L185" s="41"/>
      <c r="M185" s="43"/>
    </row>
    <row r="186" customFormat="false" ht="15.75" hidden="false" customHeight="true" outlineLevel="0" collapsed="false">
      <c r="A186" s="41"/>
      <c r="B186" s="41"/>
      <c r="C186" s="41"/>
      <c r="D186" s="41"/>
      <c r="E186" s="41"/>
      <c r="F186" s="41"/>
      <c r="G186" s="41"/>
      <c r="H186" s="41"/>
      <c r="I186" s="41"/>
      <c r="J186" s="42"/>
      <c r="K186" s="41"/>
      <c r="L186" s="41"/>
      <c r="M186" s="43"/>
    </row>
    <row r="187" customFormat="false" ht="15.75" hidden="false" customHeight="true" outlineLevel="0" collapsed="false">
      <c r="A187" s="41"/>
      <c r="B187" s="41"/>
      <c r="C187" s="41"/>
      <c r="D187" s="41"/>
      <c r="E187" s="41"/>
      <c r="F187" s="41"/>
      <c r="G187" s="41"/>
      <c r="H187" s="41"/>
      <c r="I187" s="41"/>
      <c r="J187" s="42"/>
      <c r="K187" s="41"/>
      <c r="L187" s="41"/>
      <c r="M187" s="43"/>
    </row>
    <row r="188" customFormat="false" ht="15.75" hidden="false" customHeight="true" outlineLevel="0" collapsed="false">
      <c r="A188" s="41"/>
      <c r="B188" s="41"/>
      <c r="C188" s="41"/>
      <c r="D188" s="41"/>
      <c r="E188" s="41"/>
      <c r="F188" s="41"/>
      <c r="G188" s="41"/>
      <c r="H188" s="41"/>
      <c r="I188" s="41"/>
      <c r="J188" s="42"/>
      <c r="K188" s="41"/>
      <c r="L188" s="41"/>
      <c r="M188" s="43"/>
    </row>
    <row r="189" customFormat="false" ht="15.75" hidden="false" customHeight="true" outlineLevel="0" collapsed="false">
      <c r="A189" s="41"/>
      <c r="B189" s="41"/>
      <c r="C189" s="41"/>
      <c r="D189" s="41"/>
      <c r="E189" s="41"/>
      <c r="F189" s="41"/>
      <c r="G189" s="41"/>
      <c r="H189" s="41"/>
      <c r="I189" s="41"/>
      <c r="J189" s="42"/>
      <c r="K189" s="41"/>
      <c r="L189" s="41"/>
      <c r="M189" s="43"/>
    </row>
    <row r="190" customFormat="false" ht="15.75" hidden="false" customHeight="true" outlineLevel="0" collapsed="false">
      <c r="A190" s="41"/>
      <c r="B190" s="41"/>
      <c r="C190" s="41"/>
      <c r="D190" s="41"/>
      <c r="E190" s="41"/>
      <c r="F190" s="41"/>
      <c r="G190" s="41"/>
      <c r="H190" s="41"/>
      <c r="I190" s="41"/>
      <c r="J190" s="42"/>
      <c r="K190" s="41"/>
      <c r="L190" s="41"/>
      <c r="M190" s="43"/>
    </row>
    <row r="191" customFormat="false" ht="15.75" hidden="false" customHeight="true" outlineLevel="0" collapsed="false">
      <c r="A191" s="41"/>
      <c r="B191" s="41"/>
      <c r="C191" s="41"/>
      <c r="D191" s="41"/>
      <c r="E191" s="41"/>
      <c r="F191" s="41"/>
      <c r="G191" s="41"/>
      <c r="H191" s="41"/>
      <c r="I191" s="41"/>
      <c r="J191" s="42"/>
      <c r="K191" s="41"/>
      <c r="L191" s="41"/>
      <c r="M191" s="43"/>
    </row>
    <row r="192" customFormat="false" ht="15.75" hidden="false" customHeight="true" outlineLevel="0" collapsed="false">
      <c r="A192" s="41"/>
      <c r="B192" s="41"/>
      <c r="C192" s="41"/>
      <c r="D192" s="41"/>
      <c r="E192" s="41"/>
      <c r="F192" s="41"/>
      <c r="G192" s="41"/>
      <c r="H192" s="41"/>
      <c r="I192" s="41"/>
      <c r="J192" s="42"/>
      <c r="K192" s="41"/>
      <c r="L192" s="41"/>
      <c r="M192" s="43"/>
    </row>
    <row r="193" customFormat="false" ht="15.75" hidden="false" customHeight="true" outlineLevel="0" collapsed="false">
      <c r="A193" s="41"/>
      <c r="B193" s="41"/>
      <c r="C193" s="41"/>
      <c r="D193" s="41"/>
      <c r="E193" s="41"/>
      <c r="F193" s="41"/>
      <c r="G193" s="41"/>
      <c r="H193" s="41"/>
      <c r="I193" s="41"/>
      <c r="J193" s="42"/>
      <c r="K193" s="41"/>
      <c r="L193" s="41"/>
      <c r="M193" s="43"/>
    </row>
    <row r="194" customFormat="false" ht="15.75" hidden="false" customHeight="true" outlineLevel="0" collapsed="false">
      <c r="A194" s="41"/>
      <c r="B194" s="41"/>
      <c r="C194" s="41"/>
      <c r="D194" s="41"/>
      <c r="E194" s="41"/>
      <c r="F194" s="41"/>
      <c r="G194" s="41"/>
      <c r="H194" s="41"/>
      <c r="I194" s="41"/>
      <c r="J194" s="42"/>
      <c r="K194" s="41"/>
      <c r="L194" s="41"/>
      <c r="M194" s="43"/>
    </row>
    <row r="195" customFormat="false" ht="15.75" hidden="false" customHeight="true" outlineLevel="0" collapsed="false">
      <c r="A195" s="41"/>
      <c r="B195" s="41"/>
      <c r="C195" s="41"/>
      <c r="D195" s="41"/>
      <c r="E195" s="41"/>
      <c r="F195" s="41"/>
      <c r="G195" s="41"/>
      <c r="H195" s="41"/>
      <c r="I195" s="41"/>
      <c r="J195" s="42"/>
      <c r="K195" s="41"/>
      <c r="L195" s="41"/>
      <c r="M195" s="43"/>
    </row>
    <row r="196" customFormat="false" ht="15.75" hidden="false" customHeight="true" outlineLevel="0" collapsed="false">
      <c r="A196" s="41"/>
      <c r="B196" s="41"/>
      <c r="C196" s="41"/>
      <c r="D196" s="41"/>
      <c r="E196" s="41"/>
      <c r="F196" s="41"/>
      <c r="G196" s="41"/>
      <c r="H196" s="41"/>
      <c r="I196" s="41"/>
      <c r="J196" s="42"/>
      <c r="K196" s="41"/>
      <c r="L196" s="41"/>
      <c r="M196" s="43"/>
    </row>
    <row r="197" customFormat="false" ht="15.75" hidden="false" customHeight="true" outlineLevel="0" collapsed="false">
      <c r="A197" s="41"/>
      <c r="B197" s="41"/>
      <c r="C197" s="41"/>
      <c r="D197" s="41"/>
      <c r="E197" s="41"/>
      <c r="F197" s="41"/>
      <c r="G197" s="41"/>
      <c r="H197" s="41"/>
      <c r="I197" s="41"/>
      <c r="J197" s="42"/>
      <c r="K197" s="41"/>
      <c r="L197" s="41"/>
      <c r="M197" s="43"/>
    </row>
    <row r="198" customFormat="false" ht="15.75" hidden="false" customHeight="true" outlineLevel="0" collapsed="false">
      <c r="A198" s="41"/>
      <c r="B198" s="41"/>
      <c r="C198" s="41"/>
      <c r="D198" s="41"/>
      <c r="E198" s="41"/>
      <c r="F198" s="41"/>
      <c r="G198" s="41"/>
      <c r="H198" s="41"/>
      <c r="I198" s="41"/>
      <c r="J198" s="42"/>
      <c r="K198" s="41"/>
      <c r="L198" s="41"/>
      <c r="M198" s="43"/>
    </row>
    <row r="199" customFormat="false" ht="15.75" hidden="false" customHeight="true" outlineLevel="0" collapsed="false">
      <c r="A199" s="41"/>
      <c r="B199" s="41"/>
      <c r="C199" s="41"/>
      <c r="D199" s="41"/>
      <c r="E199" s="41"/>
      <c r="F199" s="41"/>
      <c r="G199" s="41"/>
      <c r="H199" s="41"/>
      <c r="I199" s="41"/>
      <c r="J199" s="42"/>
      <c r="K199" s="41"/>
      <c r="L199" s="41"/>
      <c r="M199" s="43"/>
    </row>
    <row r="200" customFormat="false" ht="15.75" hidden="false" customHeight="true" outlineLevel="0" collapsed="false">
      <c r="A200" s="41"/>
      <c r="B200" s="41"/>
      <c r="C200" s="41"/>
      <c r="D200" s="41"/>
      <c r="E200" s="41"/>
      <c r="F200" s="41"/>
      <c r="G200" s="41"/>
      <c r="H200" s="41"/>
      <c r="I200" s="41"/>
      <c r="J200" s="42"/>
      <c r="K200" s="41"/>
      <c r="L200" s="41"/>
      <c r="M200" s="43"/>
    </row>
    <row r="201" customFormat="false" ht="15.75" hidden="false" customHeight="true" outlineLevel="0" collapsed="false">
      <c r="A201" s="41"/>
      <c r="B201" s="41"/>
      <c r="C201" s="41"/>
      <c r="D201" s="41"/>
      <c r="E201" s="41"/>
      <c r="F201" s="41"/>
      <c r="G201" s="41"/>
      <c r="H201" s="41"/>
      <c r="I201" s="41"/>
      <c r="J201" s="42"/>
      <c r="K201" s="41"/>
      <c r="L201" s="41"/>
      <c r="M201" s="43"/>
    </row>
    <row r="202" customFormat="false" ht="15.75" hidden="false" customHeight="true" outlineLevel="0" collapsed="false">
      <c r="A202" s="41"/>
      <c r="B202" s="41"/>
      <c r="C202" s="41"/>
      <c r="D202" s="41"/>
      <c r="E202" s="41"/>
      <c r="F202" s="41"/>
      <c r="G202" s="41"/>
      <c r="H202" s="41"/>
      <c r="I202" s="41"/>
      <c r="J202" s="42"/>
      <c r="K202" s="41"/>
      <c r="L202" s="41"/>
      <c r="M202" s="43"/>
    </row>
    <row r="203" customFormat="false" ht="15.75" hidden="false" customHeight="true" outlineLevel="0" collapsed="false">
      <c r="A203" s="41"/>
      <c r="B203" s="41"/>
      <c r="C203" s="41"/>
      <c r="D203" s="41"/>
      <c r="E203" s="41"/>
      <c r="F203" s="41"/>
      <c r="G203" s="41"/>
      <c r="H203" s="41"/>
      <c r="I203" s="41"/>
      <c r="J203" s="42"/>
      <c r="K203" s="41"/>
      <c r="L203" s="41"/>
      <c r="M203" s="43"/>
    </row>
    <row r="204" customFormat="false" ht="15.75" hidden="false" customHeight="true" outlineLevel="0" collapsed="false">
      <c r="A204" s="41"/>
      <c r="B204" s="41"/>
      <c r="C204" s="41"/>
      <c r="D204" s="41"/>
      <c r="E204" s="41"/>
      <c r="F204" s="41"/>
      <c r="G204" s="41"/>
      <c r="H204" s="41"/>
      <c r="I204" s="41"/>
      <c r="J204" s="42"/>
      <c r="K204" s="41"/>
      <c r="L204" s="41"/>
      <c r="M204" s="43"/>
    </row>
    <row r="205" customFormat="false" ht="15.75" hidden="false" customHeight="true" outlineLevel="0" collapsed="false">
      <c r="A205" s="41"/>
      <c r="B205" s="41"/>
      <c r="C205" s="41"/>
      <c r="D205" s="41"/>
      <c r="E205" s="41"/>
      <c r="F205" s="41"/>
      <c r="G205" s="41"/>
      <c r="H205" s="41"/>
      <c r="I205" s="41"/>
      <c r="J205" s="42"/>
      <c r="K205" s="41"/>
      <c r="L205" s="41"/>
      <c r="M205" s="43"/>
    </row>
    <row r="206" customFormat="false" ht="15.75" hidden="false" customHeight="true" outlineLevel="0" collapsed="false">
      <c r="A206" s="41"/>
      <c r="B206" s="41"/>
      <c r="C206" s="41"/>
      <c r="D206" s="41"/>
      <c r="E206" s="41"/>
      <c r="F206" s="41"/>
      <c r="G206" s="41"/>
      <c r="H206" s="41"/>
      <c r="I206" s="41"/>
      <c r="J206" s="42"/>
      <c r="K206" s="41"/>
      <c r="L206" s="41"/>
      <c r="M206" s="43"/>
    </row>
    <row r="207" customFormat="false" ht="15.75" hidden="false" customHeight="true" outlineLevel="0" collapsed="false">
      <c r="A207" s="41"/>
      <c r="B207" s="41"/>
      <c r="C207" s="41"/>
      <c r="D207" s="41"/>
      <c r="E207" s="41"/>
      <c r="F207" s="41"/>
      <c r="G207" s="41"/>
      <c r="H207" s="41"/>
      <c r="I207" s="41"/>
      <c r="J207" s="42"/>
      <c r="K207" s="41"/>
      <c r="L207" s="41"/>
      <c r="M207" s="43"/>
    </row>
    <row r="208" customFormat="false" ht="15.75" hidden="false" customHeight="true" outlineLevel="0" collapsed="false">
      <c r="A208" s="41"/>
      <c r="B208" s="41"/>
      <c r="C208" s="41"/>
      <c r="D208" s="41"/>
      <c r="E208" s="41"/>
      <c r="F208" s="41"/>
      <c r="G208" s="41"/>
      <c r="H208" s="41"/>
      <c r="I208" s="41"/>
      <c r="J208" s="42"/>
      <c r="K208" s="41"/>
      <c r="L208" s="41"/>
      <c r="M208" s="43"/>
    </row>
    <row r="209" customFormat="false" ht="15.75" hidden="false" customHeight="true" outlineLevel="0" collapsed="false">
      <c r="A209" s="41"/>
      <c r="B209" s="41"/>
      <c r="C209" s="41"/>
      <c r="D209" s="41"/>
      <c r="E209" s="41"/>
      <c r="F209" s="41"/>
      <c r="G209" s="41"/>
      <c r="H209" s="41"/>
      <c r="I209" s="41"/>
      <c r="J209" s="42"/>
      <c r="K209" s="41"/>
      <c r="L209" s="41"/>
      <c r="M209" s="43"/>
    </row>
    <row r="210" customFormat="false" ht="15.75" hidden="false" customHeight="true" outlineLevel="0" collapsed="false">
      <c r="A210" s="41"/>
      <c r="B210" s="41"/>
      <c r="C210" s="41"/>
      <c r="D210" s="41"/>
      <c r="E210" s="41"/>
      <c r="F210" s="41"/>
      <c r="G210" s="41"/>
      <c r="H210" s="41"/>
      <c r="I210" s="41"/>
      <c r="J210" s="42"/>
      <c r="K210" s="41"/>
      <c r="L210" s="41"/>
      <c r="M210" s="43"/>
    </row>
    <row r="211" customFormat="false" ht="15.75" hidden="false" customHeight="true" outlineLevel="0" collapsed="false">
      <c r="A211" s="41"/>
      <c r="B211" s="41"/>
      <c r="C211" s="41"/>
      <c r="D211" s="41"/>
      <c r="E211" s="41"/>
      <c r="F211" s="41"/>
      <c r="G211" s="41"/>
      <c r="H211" s="41"/>
      <c r="I211" s="41"/>
      <c r="J211" s="42"/>
      <c r="K211" s="41"/>
      <c r="L211" s="41"/>
      <c r="M211" s="43"/>
    </row>
    <row r="212" customFormat="false" ht="15.75" hidden="false" customHeight="true" outlineLevel="0" collapsed="false">
      <c r="A212" s="41"/>
      <c r="B212" s="41"/>
      <c r="C212" s="41"/>
      <c r="D212" s="41"/>
      <c r="E212" s="41"/>
      <c r="F212" s="41"/>
      <c r="G212" s="41"/>
      <c r="H212" s="41"/>
      <c r="I212" s="41"/>
      <c r="J212" s="42"/>
      <c r="K212" s="41"/>
      <c r="L212" s="41"/>
      <c r="M212" s="43"/>
    </row>
    <row r="213" customFormat="false" ht="15.75" hidden="false" customHeight="true" outlineLevel="0" collapsed="false">
      <c r="A213" s="41"/>
      <c r="B213" s="41"/>
      <c r="C213" s="41"/>
      <c r="D213" s="41"/>
      <c r="E213" s="41"/>
      <c r="F213" s="41"/>
      <c r="G213" s="41"/>
      <c r="H213" s="41"/>
      <c r="I213" s="41"/>
      <c r="J213" s="42"/>
      <c r="K213" s="41"/>
      <c r="L213" s="41"/>
      <c r="M213" s="43"/>
    </row>
    <row r="214" customFormat="false" ht="15.75" hidden="false" customHeight="true" outlineLevel="0" collapsed="false">
      <c r="A214" s="41"/>
      <c r="B214" s="41"/>
      <c r="C214" s="41"/>
      <c r="D214" s="41"/>
      <c r="E214" s="41"/>
      <c r="F214" s="41"/>
      <c r="G214" s="41"/>
      <c r="H214" s="41"/>
      <c r="I214" s="41"/>
      <c r="J214" s="42"/>
      <c r="K214" s="41"/>
      <c r="L214" s="41"/>
      <c r="M214" s="43"/>
    </row>
    <row r="215" customFormat="false" ht="15.75" hidden="false" customHeight="true" outlineLevel="0" collapsed="false">
      <c r="A215" s="41"/>
      <c r="B215" s="41"/>
      <c r="C215" s="41"/>
      <c r="D215" s="41"/>
      <c r="E215" s="41"/>
      <c r="F215" s="41"/>
      <c r="G215" s="41"/>
      <c r="H215" s="41"/>
      <c r="I215" s="41"/>
      <c r="J215" s="42"/>
      <c r="K215" s="41"/>
      <c r="L215" s="41"/>
      <c r="M215" s="43"/>
    </row>
    <row r="216" customFormat="false" ht="15.75" hidden="false" customHeight="true" outlineLevel="0" collapsed="false">
      <c r="A216" s="41"/>
      <c r="B216" s="41"/>
      <c r="C216" s="41"/>
      <c r="D216" s="41"/>
      <c r="E216" s="41"/>
      <c r="F216" s="41"/>
      <c r="G216" s="41"/>
      <c r="H216" s="41"/>
      <c r="I216" s="41"/>
      <c r="J216" s="42"/>
      <c r="K216" s="41"/>
      <c r="L216" s="41"/>
      <c r="M216" s="43"/>
    </row>
    <row r="217" customFormat="false" ht="15.75" hidden="false" customHeight="true" outlineLevel="0" collapsed="false">
      <c r="A217" s="41"/>
      <c r="B217" s="41"/>
      <c r="C217" s="41"/>
      <c r="D217" s="41"/>
      <c r="E217" s="41"/>
      <c r="F217" s="41"/>
      <c r="G217" s="41"/>
      <c r="H217" s="41"/>
      <c r="I217" s="41"/>
      <c r="J217" s="42"/>
      <c r="K217" s="41"/>
      <c r="L217" s="41"/>
      <c r="M217" s="43"/>
    </row>
    <row r="218" customFormat="false" ht="15.75" hidden="false" customHeight="true" outlineLevel="0" collapsed="false">
      <c r="A218" s="41"/>
      <c r="B218" s="41"/>
      <c r="C218" s="41"/>
      <c r="D218" s="41"/>
      <c r="E218" s="41"/>
      <c r="F218" s="41"/>
      <c r="G218" s="41"/>
      <c r="H218" s="41"/>
      <c r="I218" s="41"/>
      <c r="J218" s="42"/>
      <c r="K218" s="41"/>
      <c r="L218" s="41"/>
      <c r="M218" s="43"/>
    </row>
    <row r="219" customFormat="false" ht="15.75" hidden="false" customHeight="true" outlineLevel="0" collapsed="false">
      <c r="A219" s="41"/>
      <c r="B219" s="41"/>
      <c r="C219" s="41"/>
      <c r="D219" s="41"/>
      <c r="E219" s="41"/>
      <c r="F219" s="41"/>
      <c r="G219" s="41"/>
      <c r="H219" s="41"/>
      <c r="I219" s="41"/>
      <c r="J219" s="42"/>
      <c r="K219" s="41"/>
      <c r="L219" s="41"/>
      <c r="M219" s="43"/>
    </row>
    <row r="220" customFormat="false" ht="15.75" hidden="false" customHeight="true" outlineLevel="0" collapsed="false">
      <c r="A220" s="41"/>
      <c r="B220" s="41"/>
      <c r="C220" s="41"/>
      <c r="D220" s="41"/>
      <c r="E220" s="41"/>
      <c r="F220" s="41"/>
      <c r="G220" s="41"/>
      <c r="H220" s="41"/>
      <c r="I220" s="41"/>
      <c r="J220" s="42"/>
      <c r="K220" s="41"/>
      <c r="L220" s="41"/>
      <c r="M220" s="43"/>
    </row>
    <row r="221" customFormat="false" ht="15.75" hidden="false" customHeight="true" outlineLevel="0" collapsed="false">
      <c r="A221" s="41"/>
      <c r="B221" s="41"/>
      <c r="C221" s="41"/>
      <c r="D221" s="41"/>
      <c r="E221" s="41"/>
      <c r="F221" s="41"/>
      <c r="G221" s="41"/>
      <c r="H221" s="41"/>
      <c r="I221" s="41"/>
      <c r="J221" s="42"/>
      <c r="K221" s="41"/>
      <c r="L221" s="41"/>
      <c r="M221" s="43"/>
    </row>
    <row r="222" customFormat="false" ht="15.75" hidden="false" customHeight="true" outlineLevel="0" collapsed="false">
      <c r="A222" s="41"/>
      <c r="B222" s="41"/>
      <c r="C222" s="41"/>
      <c r="D222" s="41"/>
      <c r="E222" s="41"/>
      <c r="F222" s="41"/>
      <c r="G222" s="41"/>
      <c r="H222" s="41"/>
      <c r="I222" s="41"/>
      <c r="J222" s="42"/>
      <c r="K222" s="41"/>
      <c r="L222" s="41"/>
      <c r="M222" s="43"/>
    </row>
    <row r="223" customFormat="false" ht="15.75" hidden="false" customHeight="true" outlineLevel="0" collapsed="false">
      <c r="A223" s="41"/>
      <c r="B223" s="41"/>
      <c r="C223" s="41"/>
      <c r="D223" s="41"/>
      <c r="E223" s="41"/>
      <c r="F223" s="41"/>
      <c r="G223" s="41"/>
      <c r="H223" s="41"/>
      <c r="I223" s="41"/>
      <c r="J223" s="42"/>
      <c r="K223" s="41"/>
      <c r="L223" s="41"/>
      <c r="M223" s="43"/>
    </row>
    <row r="224" customFormat="false" ht="15.75" hidden="false" customHeight="true" outlineLevel="0" collapsed="false">
      <c r="A224" s="41"/>
      <c r="B224" s="41"/>
      <c r="C224" s="41"/>
      <c r="D224" s="41"/>
      <c r="E224" s="41"/>
      <c r="F224" s="41"/>
      <c r="G224" s="41"/>
      <c r="H224" s="41"/>
      <c r="I224" s="41"/>
      <c r="J224" s="42"/>
      <c r="K224" s="41"/>
      <c r="L224" s="41"/>
      <c r="M224" s="43"/>
    </row>
    <row r="225" customFormat="false" ht="15.75" hidden="false" customHeight="true" outlineLevel="0" collapsed="false">
      <c r="A225" s="41"/>
      <c r="B225" s="41"/>
      <c r="C225" s="41"/>
      <c r="D225" s="41"/>
      <c r="E225" s="41"/>
      <c r="F225" s="41"/>
      <c r="G225" s="41"/>
      <c r="H225" s="41"/>
      <c r="I225" s="41"/>
      <c r="J225" s="42"/>
      <c r="K225" s="41"/>
      <c r="L225" s="41"/>
      <c r="M225" s="43"/>
    </row>
    <row r="226" customFormat="false" ht="15.75" hidden="false" customHeight="true" outlineLevel="0" collapsed="false">
      <c r="A226" s="41"/>
      <c r="B226" s="41"/>
      <c r="C226" s="41"/>
      <c r="D226" s="41"/>
      <c r="E226" s="41"/>
      <c r="F226" s="41"/>
      <c r="G226" s="41"/>
      <c r="H226" s="41"/>
      <c r="I226" s="41"/>
      <c r="J226" s="42"/>
      <c r="K226" s="41"/>
      <c r="L226" s="41"/>
      <c r="M226" s="43"/>
    </row>
    <row r="227" customFormat="false" ht="15.75" hidden="false" customHeight="true" outlineLevel="0" collapsed="false">
      <c r="A227" s="41"/>
      <c r="B227" s="41"/>
      <c r="C227" s="41"/>
      <c r="D227" s="41"/>
      <c r="E227" s="41"/>
      <c r="F227" s="41"/>
      <c r="G227" s="41"/>
      <c r="H227" s="41"/>
      <c r="I227" s="41"/>
      <c r="J227" s="42"/>
      <c r="K227" s="41"/>
      <c r="L227" s="41"/>
      <c r="M227" s="43"/>
    </row>
    <row r="228" customFormat="false" ht="15.75" hidden="false" customHeight="true" outlineLevel="0" collapsed="false">
      <c r="A228" s="41"/>
      <c r="B228" s="41"/>
      <c r="C228" s="41"/>
      <c r="D228" s="41"/>
      <c r="E228" s="41"/>
      <c r="F228" s="41"/>
      <c r="G228" s="41"/>
      <c r="H228" s="41"/>
      <c r="I228" s="41"/>
      <c r="J228" s="42"/>
      <c r="K228" s="41"/>
      <c r="L228" s="41"/>
      <c r="M228" s="43"/>
    </row>
    <row r="229" customFormat="false" ht="15.75" hidden="false" customHeight="true" outlineLevel="0" collapsed="false">
      <c r="J229" s="44"/>
      <c r="M229" s="45"/>
    </row>
    <row r="230" customFormat="false" ht="15.75" hidden="false" customHeight="true" outlineLevel="0" collapsed="false">
      <c r="J230" s="44"/>
      <c r="M230" s="45"/>
    </row>
    <row r="231" customFormat="false" ht="15.75" hidden="false" customHeight="true" outlineLevel="0" collapsed="false">
      <c r="J231" s="44"/>
      <c r="M231" s="45"/>
    </row>
    <row r="232" customFormat="false" ht="15.75" hidden="false" customHeight="true" outlineLevel="0" collapsed="false">
      <c r="J232" s="44"/>
      <c r="M232" s="45"/>
    </row>
    <row r="233" customFormat="false" ht="15.75" hidden="false" customHeight="true" outlineLevel="0" collapsed="false">
      <c r="J233" s="44"/>
      <c r="M233" s="45"/>
    </row>
    <row r="234" customFormat="false" ht="15.75" hidden="false" customHeight="true" outlineLevel="0" collapsed="false">
      <c r="J234" s="44"/>
      <c r="M234" s="45"/>
    </row>
    <row r="235" customFormat="false" ht="15.75" hidden="false" customHeight="true" outlineLevel="0" collapsed="false">
      <c r="J235" s="44"/>
      <c r="M235" s="45"/>
    </row>
    <row r="236" customFormat="false" ht="15.75" hidden="false" customHeight="true" outlineLevel="0" collapsed="false">
      <c r="J236" s="44"/>
      <c r="M236" s="45"/>
    </row>
    <row r="237" customFormat="false" ht="15.75" hidden="false" customHeight="true" outlineLevel="0" collapsed="false">
      <c r="J237" s="44"/>
      <c r="M237" s="45"/>
    </row>
    <row r="238" customFormat="false" ht="15.75" hidden="false" customHeight="true" outlineLevel="0" collapsed="false">
      <c r="J238" s="44"/>
      <c r="M238" s="45"/>
    </row>
    <row r="239" customFormat="false" ht="15.75" hidden="false" customHeight="true" outlineLevel="0" collapsed="false">
      <c r="J239" s="44"/>
      <c r="M239" s="45"/>
    </row>
    <row r="240" customFormat="false" ht="15.75" hidden="false" customHeight="true" outlineLevel="0" collapsed="false">
      <c r="J240" s="44"/>
      <c r="M240" s="45"/>
    </row>
    <row r="241" customFormat="false" ht="15.75" hidden="false" customHeight="true" outlineLevel="0" collapsed="false">
      <c r="J241" s="44"/>
      <c r="M241" s="45"/>
    </row>
    <row r="242" customFormat="false" ht="15.75" hidden="false" customHeight="true" outlineLevel="0" collapsed="false">
      <c r="J242" s="44"/>
      <c r="M242" s="45"/>
    </row>
    <row r="243" customFormat="false" ht="15.75" hidden="false" customHeight="true" outlineLevel="0" collapsed="false">
      <c r="J243" s="44"/>
      <c r="M243" s="45"/>
    </row>
    <row r="244" customFormat="false" ht="15.75" hidden="false" customHeight="true" outlineLevel="0" collapsed="false">
      <c r="J244" s="44"/>
      <c r="M244" s="45"/>
    </row>
    <row r="245" customFormat="false" ht="15.75" hidden="false" customHeight="true" outlineLevel="0" collapsed="false">
      <c r="J245" s="44"/>
      <c r="M245" s="45"/>
    </row>
    <row r="246" customFormat="false" ht="15.75" hidden="false" customHeight="true" outlineLevel="0" collapsed="false">
      <c r="J246" s="44"/>
      <c r="M246" s="45"/>
    </row>
    <row r="247" customFormat="false" ht="15.75" hidden="false" customHeight="true" outlineLevel="0" collapsed="false">
      <c r="J247" s="44"/>
      <c r="M247" s="45"/>
    </row>
    <row r="248" customFormat="false" ht="15.75" hidden="false" customHeight="true" outlineLevel="0" collapsed="false">
      <c r="J248" s="44"/>
      <c r="M248" s="45"/>
    </row>
    <row r="249" customFormat="false" ht="15.75" hidden="false" customHeight="true" outlineLevel="0" collapsed="false">
      <c r="J249" s="44"/>
      <c r="M249" s="45"/>
    </row>
    <row r="250" customFormat="false" ht="15.75" hidden="false" customHeight="true" outlineLevel="0" collapsed="false">
      <c r="J250" s="44"/>
      <c r="M250" s="45"/>
    </row>
    <row r="251" customFormat="false" ht="15.75" hidden="false" customHeight="true" outlineLevel="0" collapsed="false">
      <c r="J251" s="44"/>
      <c r="M251" s="45"/>
    </row>
    <row r="252" customFormat="false" ht="15.75" hidden="false" customHeight="true" outlineLevel="0" collapsed="false">
      <c r="J252" s="44"/>
      <c r="M252" s="45"/>
    </row>
    <row r="253" customFormat="false" ht="15.75" hidden="false" customHeight="true" outlineLevel="0" collapsed="false">
      <c r="J253" s="44"/>
      <c r="M253" s="45"/>
    </row>
    <row r="254" customFormat="false" ht="15.75" hidden="false" customHeight="true" outlineLevel="0" collapsed="false">
      <c r="J254" s="44"/>
      <c r="M254" s="45"/>
    </row>
    <row r="255" customFormat="false" ht="15.75" hidden="false" customHeight="true" outlineLevel="0" collapsed="false">
      <c r="J255" s="44"/>
      <c r="M255" s="45"/>
    </row>
    <row r="256" customFormat="false" ht="15.75" hidden="false" customHeight="true" outlineLevel="0" collapsed="false">
      <c r="J256" s="44"/>
      <c r="M256" s="45"/>
    </row>
    <row r="257" customFormat="false" ht="15.75" hidden="false" customHeight="true" outlineLevel="0" collapsed="false">
      <c r="J257" s="44"/>
      <c r="M257" s="45"/>
    </row>
    <row r="258" customFormat="false" ht="15.75" hidden="false" customHeight="true" outlineLevel="0" collapsed="false">
      <c r="J258" s="44"/>
      <c r="M258" s="45"/>
    </row>
    <row r="259" customFormat="false" ht="15.75" hidden="false" customHeight="true" outlineLevel="0" collapsed="false">
      <c r="J259" s="44"/>
      <c r="M259" s="45"/>
    </row>
    <row r="260" customFormat="false" ht="15.75" hidden="false" customHeight="true" outlineLevel="0" collapsed="false">
      <c r="J260" s="44"/>
      <c r="M260" s="45"/>
    </row>
    <row r="261" customFormat="false" ht="15.75" hidden="false" customHeight="true" outlineLevel="0" collapsed="false">
      <c r="J261" s="44"/>
      <c r="M261" s="45"/>
    </row>
    <row r="262" customFormat="false" ht="15.75" hidden="false" customHeight="true" outlineLevel="0" collapsed="false">
      <c r="J262" s="44"/>
      <c r="M262" s="45"/>
    </row>
    <row r="263" customFormat="false" ht="15.75" hidden="false" customHeight="true" outlineLevel="0" collapsed="false">
      <c r="J263" s="44"/>
      <c r="M263" s="45"/>
    </row>
    <row r="264" customFormat="false" ht="15.75" hidden="false" customHeight="true" outlineLevel="0" collapsed="false">
      <c r="J264" s="44"/>
      <c r="M264" s="45"/>
    </row>
    <row r="265" customFormat="false" ht="15.75" hidden="false" customHeight="true" outlineLevel="0" collapsed="false">
      <c r="J265" s="44"/>
      <c r="M265" s="45"/>
    </row>
    <row r="266" customFormat="false" ht="15.75" hidden="false" customHeight="true" outlineLevel="0" collapsed="false">
      <c r="J266" s="44"/>
      <c r="M266" s="45"/>
    </row>
    <row r="267" customFormat="false" ht="15.75" hidden="false" customHeight="true" outlineLevel="0" collapsed="false">
      <c r="J267" s="44"/>
      <c r="M267" s="45"/>
    </row>
    <row r="268" customFormat="false" ht="15.75" hidden="false" customHeight="true" outlineLevel="0" collapsed="false">
      <c r="J268" s="44"/>
      <c r="M268" s="45"/>
    </row>
    <row r="269" customFormat="false" ht="15.75" hidden="false" customHeight="true" outlineLevel="0" collapsed="false">
      <c r="J269" s="44"/>
      <c r="M269" s="45"/>
    </row>
    <row r="270" customFormat="false" ht="15.75" hidden="false" customHeight="true" outlineLevel="0" collapsed="false">
      <c r="J270" s="44"/>
      <c r="M270" s="45"/>
    </row>
    <row r="271" customFormat="false" ht="15.75" hidden="false" customHeight="true" outlineLevel="0" collapsed="false">
      <c r="J271" s="44"/>
      <c r="M271" s="45"/>
    </row>
    <row r="272" customFormat="false" ht="15.75" hidden="false" customHeight="true" outlineLevel="0" collapsed="false">
      <c r="J272" s="44"/>
      <c r="M272" s="45"/>
    </row>
    <row r="273" customFormat="false" ht="15.75" hidden="false" customHeight="true" outlineLevel="0" collapsed="false">
      <c r="J273" s="44"/>
      <c r="M273" s="45"/>
    </row>
    <row r="274" customFormat="false" ht="15.75" hidden="false" customHeight="true" outlineLevel="0" collapsed="false">
      <c r="J274" s="44"/>
      <c r="M274" s="45"/>
    </row>
    <row r="275" customFormat="false" ht="15.75" hidden="false" customHeight="true" outlineLevel="0" collapsed="false">
      <c r="J275" s="44"/>
      <c r="M275" s="45"/>
    </row>
    <row r="276" customFormat="false" ht="15.75" hidden="false" customHeight="true" outlineLevel="0" collapsed="false">
      <c r="J276" s="44"/>
      <c r="M276" s="45"/>
    </row>
    <row r="277" customFormat="false" ht="15.75" hidden="false" customHeight="true" outlineLevel="0" collapsed="false">
      <c r="J277" s="44"/>
      <c r="M277" s="45"/>
    </row>
    <row r="278" customFormat="false" ht="15.75" hidden="false" customHeight="true" outlineLevel="0" collapsed="false">
      <c r="J278" s="44"/>
      <c r="M278" s="45"/>
    </row>
    <row r="279" customFormat="false" ht="15.75" hidden="false" customHeight="true" outlineLevel="0" collapsed="false">
      <c r="J279" s="44"/>
      <c r="M279" s="45"/>
    </row>
    <row r="280" customFormat="false" ht="15.75" hidden="false" customHeight="true" outlineLevel="0" collapsed="false">
      <c r="J280" s="44"/>
      <c r="M280" s="45"/>
    </row>
    <row r="281" customFormat="false" ht="15.75" hidden="false" customHeight="true" outlineLevel="0" collapsed="false">
      <c r="J281" s="44"/>
      <c r="M281" s="45"/>
    </row>
    <row r="282" customFormat="false" ht="15.75" hidden="false" customHeight="true" outlineLevel="0" collapsed="false">
      <c r="J282" s="44"/>
      <c r="M282" s="45"/>
    </row>
    <row r="283" customFormat="false" ht="15.75" hidden="false" customHeight="true" outlineLevel="0" collapsed="false">
      <c r="J283" s="44"/>
      <c r="M283" s="45"/>
    </row>
    <row r="284" customFormat="false" ht="15.75" hidden="false" customHeight="true" outlineLevel="0" collapsed="false">
      <c r="J284" s="44"/>
      <c r="M284" s="45"/>
    </row>
    <row r="285" customFormat="false" ht="15.75" hidden="false" customHeight="true" outlineLevel="0" collapsed="false">
      <c r="J285" s="44"/>
      <c r="M285" s="45"/>
    </row>
    <row r="286" customFormat="false" ht="15.75" hidden="false" customHeight="true" outlineLevel="0" collapsed="false">
      <c r="J286" s="44"/>
      <c r="M286" s="45"/>
    </row>
    <row r="287" customFormat="false" ht="15.75" hidden="false" customHeight="true" outlineLevel="0" collapsed="false">
      <c r="J287" s="44"/>
      <c r="M287" s="45"/>
    </row>
    <row r="288" customFormat="false" ht="15.75" hidden="false" customHeight="true" outlineLevel="0" collapsed="false">
      <c r="J288" s="44"/>
      <c r="M288" s="45"/>
    </row>
    <row r="289" customFormat="false" ht="15.75" hidden="false" customHeight="true" outlineLevel="0" collapsed="false">
      <c r="J289" s="44"/>
      <c r="M289" s="45"/>
    </row>
    <row r="290" customFormat="false" ht="15.75" hidden="false" customHeight="true" outlineLevel="0" collapsed="false">
      <c r="J290" s="44"/>
      <c r="M290" s="45"/>
    </row>
    <row r="291" customFormat="false" ht="15.75" hidden="false" customHeight="true" outlineLevel="0" collapsed="false">
      <c r="J291" s="44"/>
      <c r="M291" s="45"/>
    </row>
    <row r="292" customFormat="false" ht="15.75" hidden="false" customHeight="true" outlineLevel="0" collapsed="false">
      <c r="J292" s="44"/>
      <c r="M292" s="45"/>
    </row>
    <row r="293" customFormat="false" ht="15.75" hidden="false" customHeight="true" outlineLevel="0" collapsed="false">
      <c r="J293" s="44"/>
      <c r="M293" s="45"/>
    </row>
    <row r="294" customFormat="false" ht="15.75" hidden="false" customHeight="true" outlineLevel="0" collapsed="false">
      <c r="J294" s="44"/>
      <c r="M294" s="45"/>
    </row>
    <row r="295" customFormat="false" ht="15.75" hidden="false" customHeight="true" outlineLevel="0" collapsed="false">
      <c r="J295" s="44"/>
      <c r="M295" s="45"/>
    </row>
    <row r="296" customFormat="false" ht="15.75" hidden="false" customHeight="true" outlineLevel="0" collapsed="false">
      <c r="J296" s="44"/>
      <c r="M296" s="45"/>
    </row>
    <row r="297" customFormat="false" ht="15.75" hidden="false" customHeight="true" outlineLevel="0" collapsed="false">
      <c r="J297" s="44"/>
      <c r="M297" s="45"/>
    </row>
    <row r="298" customFormat="false" ht="15.75" hidden="false" customHeight="true" outlineLevel="0" collapsed="false">
      <c r="J298" s="44"/>
      <c r="M298" s="45"/>
    </row>
    <row r="299" customFormat="false" ht="15.75" hidden="false" customHeight="true" outlineLevel="0" collapsed="false">
      <c r="J299" s="44"/>
      <c r="M299" s="45"/>
    </row>
    <row r="300" customFormat="false" ht="15.75" hidden="false" customHeight="true" outlineLevel="0" collapsed="false">
      <c r="J300" s="44"/>
      <c r="M300" s="45"/>
    </row>
    <row r="301" customFormat="false" ht="15.75" hidden="false" customHeight="true" outlineLevel="0" collapsed="false">
      <c r="J301" s="44"/>
      <c r="M301" s="45"/>
    </row>
    <row r="302" customFormat="false" ht="15.75" hidden="false" customHeight="true" outlineLevel="0" collapsed="false">
      <c r="J302" s="44"/>
      <c r="M302" s="45"/>
    </row>
    <row r="303" customFormat="false" ht="15.75" hidden="false" customHeight="true" outlineLevel="0" collapsed="false">
      <c r="J303" s="44"/>
      <c r="M303" s="45"/>
    </row>
    <row r="304" customFormat="false" ht="15.75" hidden="false" customHeight="true" outlineLevel="0" collapsed="false">
      <c r="J304" s="44"/>
      <c r="M304" s="45"/>
    </row>
    <row r="305" customFormat="false" ht="15.75" hidden="false" customHeight="true" outlineLevel="0" collapsed="false">
      <c r="J305" s="44"/>
      <c r="M305" s="45"/>
    </row>
    <row r="306" customFormat="false" ht="15.75" hidden="false" customHeight="true" outlineLevel="0" collapsed="false">
      <c r="J306" s="44"/>
      <c r="M306" s="45"/>
    </row>
    <row r="307" customFormat="false" ht="15.75" hidden="false" customHeight="true" outlineLevel="0" collapsed="false">
      <c r="J307" s="44"/>
      <c r="M307" s="45"/>
    </row>
    <row r="308" customFormat="false" ht="15.75" hidden="false" customHeight="true" outlineLevel="0" collapsed="false">
      <c r="J308" s="44"/>
      <c r="M308" s="45"/>
    </row>
    <row r="309" customFormat="false" ht="15.75" hidden="false" customHeight="true" outlineLevel="0" collapsed="false">
      <c r="J309" s="44"/>
      <c r="M309" s="45"/>
    </row>
    <row r="310" customFormat="false" ht="15.75" hidden="false" customHeight="true" outlineLevel="0" collapsed="false">
      <c r="J310" s="44"/>
      <c r="M310" s="45"/>
    </row>
    <row r="311" customFormat="false" ht="15.75" hidden="false" customHeight="true" outlineLevel="0" collapsed="false">
      <c r="J311" s="44"/>
      <c r="M311" s="45"/>
    </row>
    <row r="312" customFormat="false" ht="15.75" hidden="false" customHeight="true" outlineLevel="0" collapsed="false">
      <c r="J312" s="44"/>
      <c r="M312" s="45"/>
    </row>
    <row r="313" customFormat="false" ht="15.75" hidden="false" customHeight="true" outlineLevel="0" collapsed="false">
      <c r="J313" s="44"/>
      <c r="M313" s="45"/>
    </row>
    <row r="314" customFormat="false" ht="15.75" hidden="false" customHeight="true" outlineLevel="0" collapsed="false">
      <c r="J314" s="44"/>
      <c r="M314" s="45"/>
    </row>
    <row r="315" customFormat="false" ht="15.75" hidden="false" customHeight="true" outlineLevel="0" collapsed="false">
      <c r="J315" s="44"/>
      <c r="M315" s="45"/>
    </row>
    <row r="316" customFormat="false" ht="15.75" hidden="false" customHeight="true" outlineLevel="0" collapsed="false">
      <c r="J316" s="44"/>
      <c r="M316" s="45"/>
    </row>
    <row r="317" customFormat="false" ht="15.75" hidden="false" customHeight="true" outlineLevel="0" collapsed="false">
      <c r="J317" s="44"/>
      <c r="M317" s="45"/>
    </row>
    <row r="318" customFormat="false" ht="15.75" hidden="false" customHeight="true" outlineLevel="0" collapsed="false">
      <c r="J318" s="44"/>
      <c r="M318" s="45"/>
    </row>
    <row r="319" customFormat="false" ht="15.75" hidden="false" customHeight="true" outlineLevel="0" collapsed="false">
      <c r="J319" s="44"/>
      <c r="M319" s="45"/>
    </row>
    <row r="320" customFormat="false" ht="15.75" hidden="false" customHeight="true" outlineLevel="0" collapsed="false">
      <c r="J320" s="44"/>
      <c r="M320" s="45"/>
    </row>
    <row r="321" customFormat="false" ht="15.75" hidden="false" customHeight="true" outlineLevel="0" collapsed="false">
      <c r="J321" s="44"/>
      <c r="M321" s="45"/>
    </row>
    <row r="322" customFormat="false" ht="15.75" hidden="false" customHeight="true" outlineLevel="0" collapsed="false">
      <c r="J322" s="44"/>
      <c r="M322" s="45"/>
    </row>
    <row r="323" customFormat="false" ht="15.75" hidden="false" customHeight="true" outlineLevel="0" collapsed="false">
      <c r="J323" s="44"/>
      <c r="M323" s="45"/>
    </row>
    <row r="324" customFormat="false" ht="15.75" hidden="false" customHeight="true" outlineLevel="0" collapsed="false">
      <c r="J324" s="44"/>
      <c r="M324" s="45"/>
    </row>
    <row r="325" customFormat="false" ht="15.75" hidden="false" customHeight="true" outlineLevel="0" collapsed="false">
      <c r="J325" s="44"/>
      <c r="M325" s="45"/>
    </row>
    <row r="326" customFormat="false" ht="15.75" hidden="false" customHeight="true" outlineLevel="0" collapsed="false">
      <c r="J326" s="44"/>
      <c r="M326" s="45"/>
    </row>
    <row r="327" customFormat="false" ht="15.75" hidden="false" customHeight="true" outlineLevel="0" collapsed="false">
      <c r="J327" s="44"/>
      <c r="M327" s="45"/>
    </row>
    <row r="328" customFormat="false" ht="15.75" hidden="false" customHeight="true" outlineLevel="0" collapsed="false">
      <c r="J328" s="44"/>
      <c r="M328" s="45"/>
    </row>
    <row r="329" customFormat="false" ht="15.75" hidden="false" customHeight="true" outlineLevel="0" collapsed="false">
      <c r="J329" s="44"/>
      <c r="M329" s="45"/>
    </row>
    <row r="330" customFormat="false" ht="15.75" hidden="false" customHeight="true" outlineLevel="0" collapsed="false">
      <c r="J330" s="44"/>
      <c r="M330" s="45"/>
    </row>
    <row r="331" customFormat="false" ht="15.75" hidden="false" customHeight="true" outlineLevel="0" collapsed="false">
      <c r="J331" s="44"/>
      <c r="M331" s="45"/>
    </row>
    <row r="332" customFormat="false" ht="15.75" hidden="false" customHeight="true" outlineLevel="0" collapsed="false">
      <c r="J332" s="44"/>
      <c r="M332" s="45"/>
    </row>
    <row r="333" customFormat="false" ht="15.75" hidden="false" customHeight="true" outlineLevel="0" collapsed="false">
      <c r="J333" s="44"/>
      <c r="M333" s="45"/>
    </row>
    <row r="334" customFormat="false" ht="15.75" hidden="false" customHeight="true" outlineLevel="0" collapsed="false">
      <c r="J334" s="44"/>
      <c r="M334" s="45"/>
    </row>
    <row r="335" customFormat="false" ht="15.75" hidden="false" customHeight="true" outlineLevel="0" collapsed="false">
      <c r="J335" s="44"/>
      <c r="M335" s="45"/>
    </row>
    <row r="336" customFormat="false" ht="15.75" hidden="false" customHeight="true" outlineLevel="0" collapsed="false">
      <c r="J336" s="44"/>
      <c r="M336" s="45"/>
    </row>
    <row r="337" customFormat="false" ht="15.75" hidden="false" customHeight="true" outlineLevel="0" collapsed="false">
      <c r="J337" s="44"/>
      <c r="M337" s="45"/>
    </row>
    <row r="338" customFormat="false" ht="15.75" hidden="false" customHeight="true" outlineLevel="0" collapsed="false">
      <c r="J338" s="44"/>
      <c r="M338" s="45"/>
    </row>
    <row r="339" customFormat="false" ht="15.75" hidden="false" customHeight="true" outlineLevel="0" collapsed="false">
      <c r="J339" s="44"/>
      <c r="M339" s="45"/>
    </row>
    <row r="340" customFormat="false" ht="15.75" hidden="false" customHeight="true" outlineLevel="0" collapsed="false">
      <c r="J340" s="44"/>
      <c r="M340" s="45"/>
    </row>
    <row r="341" customFormat="false" ht="15.75" hidden="false" customHeight="true" outlineLevel="0" collapsed="false">
      <c r="J341" s="44"/>
      <c r="M341" s="45"/>
    </row>
    <row r="342" customFormat="false" ht="15.75" hidden="false" customHeight="true" outlineLevel="0" collapsed="false">
      <c r="J342" s="44"/>
      <c r="M342" s="45"/>
    </row>
    <row r="343" customFormat="false" ht="15.75" hidden="false" customHeight="true" outlineLevel="0" collapsed="false">
      <c r="J343" s="44"/>
      <c r="M343" s="45"/>
    </row>
    <row r="344" customFormat="false" ht="15.75" hidden="false" customHeight="true" outlineLevel="0" collapsed="false">
      <c r="J344" s="44"/>
      <c r="M344" s="45"/>
    </row>
    <row r="345" customFormat="false" ht="15.75" hidden="false" customHeight="true" outlineLevel="0" collapsed="false">
      <c r="J345" s="44"/>
      <c r="M345" s="45"/>
    </row>
    <row r="346" customFormat="false" ht="15.75" hidden="false" customHeight="true" outlineLevel="0" collapsed="false">
      <c r="J346" s="44"/>
      <c r="M346" s="45"/>
    </row>
    <row r="347" customFormat="false" ht="15.75" hidden="false" customHeight="true" outlineLevel="0" collapsed="false">
      <c r="J347" s="44"/>
      <c r="M347" s="45"/>
    </row>
    <row r="348" customFormat="false" ht="15.75" hidden="false" customHeight="true" outlineLevel="0" collapsed="false">
      <c r="J348" s="44"/>
      <c r="M348" s="45"/>
    </row>
    <row r="349" customFormat="false" ht="15.75" hidden="false" customHeight="true" outlineLevel="0" collapsed="false">
      <c r="J349" s="44"/>
      <c r="M349" s="45"/>
    </row>
    <row r="350" customFormat="false" ht="15.75" hidden="false" customHeight="true" outlineLevel="0" collapsed="false">
      <c r="J350" s="44"/>
      <c r="M350" s="45"/>
    </row>
    <row r="351" customFormat="false" ht="15.75" hidden="false" customHeight="true" outlineLevel="0" collapsed="false">
      <c r="J351" s="44"/>
      <c r="M351" s="45"/>
    </row>
    <row r="352" customFormat="false" ht="15.75" hidden="false" customHeight="true" outlineLevel="0" collapsed="false">
      <c r="J352" s="44"/>
      <c r="M352" s="45"/>
    </row>
    <row r="353" customFormat="false" ht="15.75" hidden="false" customHeight="true" outlineLevel="0" collapsed="false">
      <c r="J353" s="44"/>
      <c r="M353" s="45"/>
    </row>
    <row r="354" customFormat="false" ht="15.75" hidden="false" customHeight="true" outlineLevel="0" collapsed="false">
      <c r="J354" s="44"/>
      <c r="M354" s="45"/>
    </row>
    <row r="355" customFormat="false" ht="15.75" hidden="false" customHeight="true" outlineLevel="0" collapsed="false">
      <c r="J355" s="44"/>
      <c r="M355" s="45"/>
    </row>
    <row r="356" customFormat="false" ht="15.75" hidden="false" customHeight="true" outlineLevel="0" collapsed="false">
      <c r="J356" s="44"/>
      <c r="M356" s="45"/>
    </row>
    <row r="357" customFormat="false" ht="15.75" hidden="false" customHeight="true" outlineLevel="0" collapsed="false">
      <c r="J357" s="44"/>
      <c r="M357" s="45"/>
    </row>
    <row r="358" customFormat="false" ht="15.75" hidden="false" customHeight="true" outlineLevel="0" collapsed="false">
      <c r="J358" s="44"/>
      <c r="M358" s="45"/>
    </row>
    <row r="359" customFormat="false" ht="15.75" hidden="false" customHeight="true" outlineLevel="0" collapsed="false">
      <c r="J359" s="44"/>
      <c r="M359" s="45"/>
    </row>
    <row r="360" customFormat="false" ht="15.75" hidden="false" customHeight="true" outlineLevel="0" collapsed="false">
      <c r="J360" s="44"/>
      <c r="M360" s="45"/>
    </row>
    <row r="361" customFormat="false" ht="15.75" hidden="false" customHeight="true" outlineLevel="0" collapsed="false">
      <c r="J361" s="44"/>
      <c r="M361" s="45"/>
    </row>
    <row r="362" customFormat="false" ht="15.75" hidden="false" customHeight="true" outlineLevel="0" collapsed="false">
      <c r="J362" s="44"/>
      <c r="M362" s="45"/>
    </row>
    <row r="363" customFormat="false" ht="15.75" hidden="false" customHeight="true" outlineLevel="0" collapsed="false">
      <c r="J363" s="44"/>
      <c r="M363" s="45"/>
    </row>
    <row r="364" customFormat="false" ht="15.75" hidden="false" customHeight="true" outlineLevel="0" collapsed="false">
      <c r="J364" s="44"/>
      <c r="M364" s="45"/>
    </row>
    <row r="365" customFormat="false" ht="15.75" hidden="false" customHeight="true" outlineLevel="0" collapsed="false">
      <c r="J365" s="44"/>
      <c r="M365" s="45"/>
    </row>
    <row r="366" customFormat="false" ht="15.75" hidden="false" customHeight="true" outlineLevel="0" collapsed="false">
      <c r="J366" s="44"/>
      <c r="M366" s="45"/>
    </row>
    <row r="367" customFormat="false" ht="15.75" hidden="false" customHeight="true" outlineLevel="0" collapsed="false">
      <c r="J367" s="44"/>
      <c r="M367" s="45"/>
    </row>
    <row r="368" customFormat="false" ht="15.75" hidden="false" customHeight="true" outlineLevel="0" collapsed="false">
      <c r="J368" s="44"/>
      <c r="M368" s="45"/>
    </row>
    <row r="369" customFormat="false" ht="15.75" hidden="false" customHeight="true" outlineLevel="0" collapsed="false">
      <c r="J369" s="44"/>
      <c r="M369" s="45"/>
    </row>
    <row r="370" customFormat="false" ht="15.75" hidden="false" customHeight="true" outlineLevel="0" collapsed="false">
      <c r="J370" s="44"/>
      <c r="M370" s="45"/>
    </row>
    <row r="371" customFormat="false" ht="15.75" hidden="false" customHeight="true" outlineLevel="0" collapsed="false">
      <c r="J371" s="44"/>
      <c r="M371" s="45"/>
    </row>
    <row r="372" customFormat="false" ht="15.75" hidden="false" customHeight="true" outlineLevel="0" collapsed="false">
      <c r="J372" s="44"/>
      <c r="M372" s="45"/>
    </row>
    <row r="373" customFormat="false" ht="15.75" hidden="false" customHeight="true" outlineLevel="0" collapsed="false">
      <c r="J373" s="44"/>
      <c r="M373" s="45"/>
    </row>
    <row r="374" customFormat="false" ht="15.75" hidden="false" customHeight="true" outlineLevel="0" collapsed="false">
      <c r="J374" s="44"/>
      <c r="M374" s="45"/>
    </row>
    <row r="375" customFormat="false" ht="15.75" hidden="false" customHeight="true" outlineLevel="0" collapsed="false">
      <c r="J375" s="44"/>
      <c r="M375" s="45"/>
    </row>
    <row r="376" customFormat="false" ht="15.75" hidden="false" customHeight="true" outlineLevel="0" collapsed="false">
      <c r="J376" s="44"/>
      <c r="M376" s="45"/>
    </row>
    <row r="377" customFormat="false" ht="15.75" hidden="false" customHeight="true" outlineLevel="0" collapsed="false">
      <c r="J377" s="44"/>
      <c r="M377" s="45"/>
    </row>
    <row r="378" customFormat="false" ht="15.75" hidden="false" customHeight="true" outlineLevel="0" collapsed="false">
      <c r="J378" s="44"/>
      <c r="M378" s="45"/>
    </row>
    <row r="379" customFormat="false" ht="15.75" hidden="false" customHeight="true" outlineLevel="0" collapsed="false">
      <c r="J379" s="44"/>
      <c r="M379" s="45"/>
    </row>
    <row r="380" customFormat="false" ht="15.75" hidden="false" customHeight="true" outlineLevel="0" collapsed="false">
      <c r="J380" s="44"/>
      <c r="M380" s="45"/>
    </row>
    <row r="381" customFormat="false" ht="15.75" hidden="false" customHeight="true" outlineLevel="0" collapsed="false">
      <c r="J381" s="44"/>
      <c r="M381" s="45"/>
    </row>
    <row r="382" customFormat="false" ht="15.75" hidden="false" customHeight="true" outlineLevel="0" collapsed="false">
      <c r="J382" s="44"/>
      <c r="M382" s="45"/>
    </row>
    <row r="383" customFormat="false" ht="15.75" hidden="false" customHeight="true" outlineLevel="0" collapsed="false">
      <c r="J383" s="44"/>
      <c r="M383" s="45"/>
    </row>
    <row r="384" customFormat="false" ht="15.75" hidden="false" customHeight="true" outlineLevel="0" collapsed="false">
      <c r="J384" s="44"/>
      <c r="M384" s="45"/>
    </row>
    <row r="385" customFormat="false" ht="15.75" hidden="false" customHeight="true" outlineLevel="0" collapsed="false">
      <c r="J385" s="44"/>
      <c r="M385" s="45"/>
    </row>
    <row r="386" customFormat="false" ht="15.75" hidden="false" customHeight="true" outlineLevel="0" collapsed="false">
      <c r="J386" s="44"/>
      <c r="M386" s="45"/>
    </row>
    <row r="387" customFormat="false" ht="15.75" hidden="false" customHeight="true" outlineLevel="0" collapsed="false">
      <c r="J387" s="44"/>
      <c r="M387" s="45"/>
    </row>
    <row r="388" customFormat="false" ht="15.75" hidden="false" customHeight="true" outlineLevel="0" collapsed="false">
      <c r="J388" s="44"/>
      <c r="M388" s="45"/>
    </row>
    <row r="389" customFormat="false" ht="15.75" hidden="false" customHeight="true" outlineLevel="0" collapsed="false">
      <c r="J389" s="44"/>
      <c r="M389" s="45"/>
    </row>
    <row r="390" customFormat="false" ht="15.75" hidden="false" customHeight="true" outlineLevel="0" collapsed="false">
      <c r="J390" s="44"/>
      <c r="M390" s="45"/>
    </row>
    <row r="391" customFormat="false" ht="15.75" hidden="false" customHeight="true" outlineLevel="0" collapsed="false">
      <c r="J391" s="44"/>
      <c r="M391" s="45"/>
    </row>
    <row r="392" customFormat="false" ht="15.75" hidden="false" customHeight="true" outlineLevel="0" collapsed="false">
      <c r="J392" s="44"/>
      <c r="M392" s="45"/>
    </row>
    <row r="393" customFormat="false" ht="15.75" hidden="false" customHeight="true" outlineLevel="0" collapsed="false">
      <c r="J393" s="44"/>
      <c r="M393" s="45"/>
    </row>
    <row r="394" customFormat="false" ht="15.75" hidden="false" customHeight="true" outlineLevel="0" collapsed="false">
      <c r="J394" s="44"/>
      <c r="M394" s="45"/>
    </row>
    <row r="395" customFormat="false" ht="15.75" hidden="false" customHeight="true" outlineLevel="0" collapsed="false">
      <c r="J395" s="44"/>
      <c r="M395" s="45"/>
    </row>
    <row r="396" customFormat="false" ht="15.75" hidden="false" customHeight="true" outlineLevel="0" collapsed="false">
      <c r="J396" s="44"/>
      <c r="M396" s="45"/>
    </row>
    <row r="397" customFormat="false" ht="15.75" hidden="false" customHeight="true" outlineLevel="0" collapsed="false">
      <c r="J397" s="44"/>
      <c r="M397" s="45"/>
    </row>
    <row r="398" customFormat="false" ht="15.75" hidden="false" customHeight="true" outlineLevel="0" collapsed="false">
      <c r="J398" s="44"/>
      <c r="M398" s="45"/>
    </row>
    <row r="399" customFormat="false" ht="15.75" hidden="false" customHeight="true" outlineLevel="0" collapsed="false">
      <c r="J399" s="44"/>
      <c r="M399" s="45"/>
    </row>
    <row r="400" customFormat="false" ht="15.75" hidden="false" customHeight="true" outlineLevel="0" collapsed="false">
      <c r="J400" s="44"/>
      <c r="M400" s="45"/>
    </row>
    <row r="401" customFormat="false" ht="15.75" hidden="false" customHeight="true" outlineLevel="0" collapsed="false">
      <c r="J401" s="44"/>
      <c r="M401" s="45"/>
    </row>
    <row r="402" customFormat="false" ht="15.75" hidden="false" customHeight="true" outlineLevel="0" collapsed="false">
      <c r="J402" s="44"/>
      <c r="M402" s="45"/>
    </row>
    <row r="403" customFormat="false" ht="15.75" hidden="false" customHeight="true" outlineLevel="0" collapsed="false">
      <c r="J403" s="44"/>
      <c r="M403" s="45"/>
    </row>
    <row r="404" customFormat="false" ht="15.75" hidden="false" customHeight="true" outlineLevel="0" collapsed="false">
      <c r="J404" s="44"/>
      <c r="M404" s="45"/>
    </row>
    <row r="405" customFormat="false" ht="15.75" hidden="false" customHeight="true" outlineLevel="0" collapsed="false">
      <c r="J405" s="44"/>
      <c r="M405" s="45"/>
    </row>
    <row r="406" customFormat="false" ht="15.75" hidden="false" customHeight="true" outlineLevel="0" collapsed="false">
      <c r="J406" s="44"/>
      <c r="M406" s="45"/>
    </row>
    <row r="407" customFormat="false" ht="15.75" hidden="false" customHeight="true" outlineLevel="0" collapsed="false">
      <c r="J407" s="44"/>
      <c r="M407" s="45"/>
    </row>
    <row r="408" customFormat="false" ht="15.75" hidden="false" customHeight="true" outlineLevel="0" collapsed="false">
      <c r="J408" s="44"/>
      <c r="M408" s="45"/>
    </row>
    <row r="409" customFormat="false" ht="15.75" hidden="false" customHeight="true" outlineLevel="0" collapsed="false">
      <c r="J409" s="44"/>
      <c r="M409" s="45"/>
    </row>
    <row r="410" customFormat="false" ht="15.75" hidden="false" customHeight="true" outlineLevel="0" collapsed="false">
      <c r="J410" s="44"/>
      <c r="M410" s="45"/>
    </row>
    <row r="411" customFormat="false" ht="15.75" hidden="false" customHeight="true" outlineLevel="0" collapsed="false">
      <c r="J411" s="44"/>
      <c r="M411" s="45"/>
    </row>
    <row r="412" customFormat="false" ht="15.75" hidden="false" customHeight="true" outlineLevel="0" collapsed="false">
      <c r="J412" s="44"/>
      <c r="M412" s="45"/>
    </row>
    <row r="413" customFormat="false" ht="15.75" hidden="false" customHeight="true" outlineLevel="0" collapsed="false">
      <c r="J413" s="44"/>
      <c r="M413" s="45"/>
    </row>
    <row r="414" customFormat="false" ht="15.75" hidden="false" customHeight="true" outlineLevel="0" collapsed="false">
      <c r="J414" s="44"/>
      <c r="M414" s="45"/>
    </row>
    <row r="415" customFormat="false" ht="15.75" hidden="false" customHeight="true" outlineLevel="0" collapsed="false">
      <c r="J415" s="44"/>
      <c r="M415" s="45"/>
    </row>
    <row r="416" customFormat="false" ht="15.75" hidden="false" customHeight="true" outlineLevel="0" collapsed="false">
      <c r="J416" s="44"/>
      <c r="M416" s="45"/>
    </row>
    <row r="417" customFormat="false" ht="15.75" hidden="false" customHeight="true" outlineLevel="0" collapsed="false">
      <c r="J417" s="44"/>
      <c r="M417" s="45"/>
    </row>
    <row r="418" customFormat="false" ht="15.75" hidden="false" customHeight="true" outlineLevel="0" collapsed="false">
      <c r="J418" s="44"/>
      <c r="M418" s="45"/>
    </row>
    <row r="419" customFormat="false" ht="15.75" hidden="false" customHeight="true" outlineLevel="0" collapsed="false">
      <c r="J419" s="44"/>
      <c r="M419" s="45"/>
    </row>
    <row r="420" customFormat="false" ht="15.75" hidden="false" customHeight="true" outlineLevel="0" collapsed="false">
      <c r="J420" s="44"/>
      <c r="M420" s="45"/>
    </row>
    <row r="421" customFormat="false" ht="15.75" hidden="false" customHeight="true" outlineLevel="0" collapsed="false">
      <c r="J421" s="44"/>
      <c r="M421" s="45"/>
    </row>
    <row r="422" customFormat="false" ht="15.75" hidden="false" customHeight="true" outlineLevel="0" collapsed="false">
      <c r="J422" s="44"/>
      <c r="M422" s="45"/>
    </row>
    <row r="423" customFormat="false" ht="15.75" hidden="false" customHeight="true" outlineLevel="0" collapsed="false">
      <c r="J423" s="44"/>
      <c r="M423" s="45"/>
    </row>
    <row r="424" customFormat="false" ht="15.75" hidden="false" customHeight="true" outlineLevel="0" collapsed="false">
      <c r="J424" s="44"/>
      <c r="M424" s="45"/>
    </row>
    <row r="425" customFormat="false" ht="15.75" hidden="false" customHeight="true" outlineLevel="0" collapsed="false">
      <c r="J425" s="44"/>
      <c r="M425" s="45"/>
    </row>
    <row r="426" customFormat="false" ht="15.75" hidden="false" customHeight="true" outlineLevel="0" collapsed="false">
      <c r="J426" s="44"/>
      <c r="M426" s="45"/>
    </row>
    <row r="427" customFormat="false" ht="15.75" hidden="false" customHeight="true" outlineLevel="0" collapsed="false">
      <c r="J427" s="44"/>
      <c r="M427" s="45"/>
    </row>
    <row r="428" customFormat="false" ht="15.75" hidden="false" customHeight="true" outlineLevel="0" collapsed="false">
      <c r="J428" s="44"/>
      <c r="M428" s="45"/>
    </row>
    <row r="429" customFormat="false" ht="15.75" hidden="false" customHeight="true" outlineLevel="0" collapsed="false">
      <c r="J429" s="44"/>
      <c r="M429" s="45"/>
    </row>
    <row r="430" customFormat="false" ht="15.75" hidden="false" customHeight="true" outlineLevel="0" collapsed="false">
      <c r="J430" s="44"/>
      <c r="M430" s="45"/>
    </row>
    <row r="431" customFormat="false" ht="15.75" hidden="false" customHeight="true" outlineLevel="0" collapsed="false">
      <c r="J431" s="44"/>
      <c r="M431" s="45"/>
    </row>
    <row r="432" customFormat="false" ht="15.75" hidden="false" customHeight="true" outlineLevel="0" collapsed="false">
      <c r="J432" s="44"/>
      <c r="M432" s="45"/>
    </row>
    <row r="433" customFormat="false" ht="15.75" hidden="false" customHeight="true" outlineLevel="0" collapsed="false">
      <c r="J433" s="44"/>
      <c r="M433" s="45"/>
    </row>
    <row r="434" customFormat="false" ht="15.75" hidden="false" customHeight="true" outlineLevel="0" collapsed="false">
      <c r="J434" s="44"/>
      <c r="M434" s="45"/>
    </row>
    <row r="435" customFormat="false" ht="15.75" hidden="false" customHeight="true" outlineLevel="0" collapsed="false">
      <c r="J435" s="44"/>
      <c r="M435" s="45"/>
    </row>
    <row r="436" customFormat="false" ht="15.75" hidden="false" customHeight="true" outlineLevel="0" collapsed="false">
      <c r="J436" s="44"/>
      <c r="M436" s="45"/>
    </row>
    <row r="437" customFormat="false" ht="15.75" hidden="false" customHeight="true" outlineLevel="0" collapsed="false">
      <c r="J437" s="44"/>
      <c r="M437" s="45"/>
    </row>
    <row r="438" customFormat="false" ht="15.75" hidden="false" customHeight="true" outlineLevel="0" collapsed="false">
      <c r="J438" s="44"/>
      <c r="M438" s="45"/>
    </row>
    <row r="439" customFormat="false" ht="15.75" hidden="false" customHeight="true" outlineLevel="0" collapsed="false">
      <c r="J439" s="44"/>
      <c r="M439" s="45"/>
    </row>
    <row r="440" customFormat="false" ht="15.75" hidden="false" customHeight="true" outlineLevel="0" collapsed="false">
      <c r="J440" s="44"/>
      <c r="M440" s="45"/>
    </row>
    <row r="441" customFormat="false" ht="15.75" hidden="false" customHeight="true" outlineLevel="0" collapsed="false">
      <c r="J441" s="44"/>
      <c r="M441" s="45"/>
    </row>
    <row r="442" customFormat="false" ht="15.75" hidden="false" customHeight="true" outlineLevel="0" collapsed="false">
      <c r="J442" s="44"/>
      <c r="M442" s="45"/>
    </row>
    <row r="443" customFormat="false" ht="15.75" hidden="false" customHeight="true" outlineLevel="0" collapsed="false">
      <c r="J443" s="44"/>
      <c r="M443" s="45"/>
    </row>
    <row r="444" customFormat="false" ht="15.75" hidden="false" customHeight="true" outlineLevel="0" collapsed="false">
      <c r="J444" s="44"/>
      <c r="M444" s="45"/>
    </row>
    <row r="445" customFormat="false" ht="15.75" hidden="false" customHeight="true" outlineLevel="0" collapsed="false">
      <c r="J445" s="44"/>
      <c r="M445" s="45"/>
    </row>
    <row r="446" customFormat="false" ht="15.75" hidden="false" customHeight="true" outlineLevel="0" collapsed="false">
      <c r="J446" s="44"/>
      <c r="M446" s="45"/>
    </row>
    <row r="447" customFormat="false" ht="15.75" hidden="false" customHeight="true" outlineLevel="0" collapsed="false">
      <c r="J447" s="44"/>
      <c r="M447" s="45"/>
    </row>
    <row r="448" customFormat="false" ht="15.75" hidden="false" customHeight="true" outlineLevel="0" collapsed="false">
      <c r="J448" s="44"/>
      <c r="M448" s="45"/>
    </row>
    <row r="449" customFormat="false" ht="15.75" hidden="false" customHeight="true" outlineLevel="0" collapsed="false">
      <c r="J449" s="44"/>
      <c r="M449" s="45"/>
    </row>
    <row r="450" customFormat="false" ht="15.75" hidden="false" customHeight="true" outlineLevel="0" collapsed="false">
      <c r="J450" s="44"/>
      <c r="M450" s="45"/>
    </row>
    <row r="451" customFormat="false" ht="15.75" hidden="false" customHeight="true" outlineLevel="0" collapsed="false">
      <c r="J451" s="44"/>
      <c r="M451" s="45"/>
    </row>
    <row r="452" customFormat="false" ht="15.75" hidden="false" customHeight="true" outlineLevel="0" collapsed="false">
      <c r="J452" s="44"/>
      <c r="M452" s="45"/>
    </row>
    <row r="453" customFormat="false" ht="15.75" hidden="false" customHeight="true" outlineLevel="0" collapsed="false">
      <c r="J453" s="44"/>
      <c r="M453" s="45"/>
    </row>
    <row r="454" customFormat="false" ht="15.75" hidden="false" customHeight="true" outlineLevel="0" collapsed="false">
      <c r="J454" s="44"/>
      <c r="M454" s="45"/>
    </row>
    <row r="455" customFormat="false" ht="15.75" hidden="false" customHeight="true" outlineLevel="0" collapsed="false">
      <c r="J455" s="44"/>
      <c r="M455" s="45"/>
    </row>
    <row r="456" customFormat="false" ht="15.75" hidden="false" customHeight="true" outlineLevel="0" collapsed="false">
      <c r="J456" s="44"/>
      <c r="M456" s="45"/>
    </row>
    <row r="457" customFormat="false" ht="15.75" hidden="false" customHeight="true" outlineLevel="0" collapsed="false">
      <c r="J457" s="44"/>
      <c r="M457" s="45"/>
    </row>
    <row r="458" customFormat="false" ht="15.75" hidden="false" customHeight="true" outlineLevel="0" collapsed="false">
      <c r="J458" s="44"/>
      <c r="M458" s="45"/>
    </row>
    <row r="459" customFormat="false" ht="15.75" hidden="false" customHeight="true" outlineLevel="0" collapsed="false">
      <c r="J459" s="44"/>
      <c r="M459" s="45"/>
    </row>
    <row r="460" customFormat="false" ht="15.75" hidden="false" customHeight="true" outlineLevel="0" collapsed="false">
      <c r="J460" s="44"/>
      <c r="M460" s="45"/>
    </row>
    <row r="461" customFormat="false" ht="15.75" hidden="false" customHeight="true" outlineLevel="0" collapsed="false">
      <c r="J461" s="44"/>
      <c r="M461" s="45"/>
    </row>
    <row r="462" customFormat="false" ht="15.75" hidden="false" customHeight="true" outlineLevel="0" collapsed="false">
      <c r="J462" s="44"/>
      <c r="M462" s="45"/>
    </row>
    <row r="463" customFormat="false" ht="15.75" hidden="false" customHeight="true" outlineLevel="0" collapsed="false">
      <c r="J463" s="44"/>
      <c r="M463" s="45"/>
    </row>
    <row r="464" customFormat="false" ht="15.75" hidden="false" customHeight="true" outlineLevel="0" collapsed="false">
      <c r="J464" s="44"/>
      <c r="M464" s="45"/>
    </row>
    <row r="465" customFormat="false" ht="15.75" hidden="false" customHeight="true" outlineLevel="0" collapsed="false">
      <c r="J465" s="44"/>
      <c r="M465" s="45"/>
    </row>
    <row r="466" customFormat="false" ht="15.75" hidden="false" customHeight="true" outlineLevel="0" collapsed="false">
      <c r="J466" s="44"/>
      <c r="M466" s="45"/>
    </row>
    <row r="467" customFormat="false" ht="15.75" hidden="false" customHeight="true" outlineLevel="0" collapsed="false">
      <c r="J467" s="44"/>
      <c r="M467" s="45"/>
    </row>
    <row r="468" customFormat="false" ht="15.75" hidden="false" customHeight="true" outlineLevel="0" collapsed="false">
      <c r="J468" s="44"/>
      <c r="M468" s="45"/>
    </row>
    <row r="469" customFormat="false" ht="15.75" hidden="false" customHeight="true" outlineLevel="0" collapsed="false">
      <c r="J469" s="44"/>
      <c r="M469" s="45"/>
    </row>
    <row r="470" customFormat="false" ht="15.75" hidden="false" customHeight="true" outlineLevel="0" collapsed="false">
      <c r="J470" s="44"/>
      <c r="M470" s="45"/>
    </row>
    <row r="471" customFormat="false" ht="15.75" hidden="false" customHeight="true" outlineLevel="0" collapsed="false">
      <c r="J471" s="44"/>
      <c r="M471" s="45"/>
    </row>
    <row r="472" customFormat="false" ht="15.75" hidden="false" customHeight="true" outlineLevel="0" collapsed="false">
      <c r="J472" s="44"/>
      <c r="M472" s="45"/>
    </row>
    <row r="473" customFormat="false" ht="15.75" hidden="false" customHeight="true" outlineLevel="0" collapsed="false">
      <c r="J473" s="44"/>
      <c r="M473" s="45"/>
    </row>
    <row r="474" customFormat="false" ht="15.75" hidden="false" customHeight="true" outlineLevel="0" collapsed="false">
      <c r="J474" s="44"/>
      <c r="M474" s="45"/>
    </row>
    <row r="475" customFormat="false" ht="15.75" hidden="false" customHeight="true" outlineLevel="0" collapsed="false">
      <c r="J475" s="44"/>
      <c r="M475" s="45"/>
    </row>
    <row r="476" customFormat="false" ht="15.75" hidden="false" customHeight="true" outlineLevel="0" collapsed="false">
      <c r="J476" s="44"/>
      <c r="M476" s="45"/>
    </row>
    <row r="477" customFormat="false" ht="15.75" hidden="false" customHeight="true" outlineLevel="0" collapsed="false">
      <c r="J477" s="44"/>
      <c r="M477" s="45"/>
    </row>
    <row r="478" customFormat="false" ht="15.75" hidden="false" customHeight="true" outlineLevel="0" collapsed="false">
      <c r="J478" s="44"/>
      <c r="M478" s="45"/>
    </row>
    <row r="479" customFormat="false" ht="15.75" hidden="false" customHeight="true" outlineLevel="0" collapsed="false">
      <c r="J479" s="44"/>
      <c r="M479" s="45"/>
    </row>
    <row r="480" customFormat="false" ht="15.75" hidden="false" customHeight="true" outlineLevel="0" collapsed="false">
      <c r="J480" s="44"/>
      <c r="M480" s="45"/>
    </row>
    <row r="481" customFormat="false" ht="15.75" hidden="false" customHeight="true" outlineLevel="0" collapsed="false">
      <c r="J481" s="44"/>
      <c r="M481" s="45"/>
    </row>
    <row r="482" customFormat="false" ht="15.75" hidden="false" customHeight="true" outlineLevel="0" collapsed="false">
      <c r="J482" s="44"/>
      <c r="M482" s="45"/>
    </row>
    <row r="483" customFormat="false" ht="15.75" hidden="false" customHeight="true" outlineLevel="0" collapsed="false">
      <c r="J483" s="44"/>
      <c r="M483" s="45"/>
    </row>
    <row r="484" customFormat="false" ht="15.75" hidden="false" customHeight="true" outlineLevel="0" collapsed="false">
      <c r="J484" s="44"/>
      <c r="M484" s="45"/>
    </row>
    <row r="485" customFormat="false" ht="15.75" hidden="false" customHeight="true" outlineLevel="0" collapsed="false">
      <c r="J485" s="44"/>
      <c r="M485" s="45"/>
    </row>
    <row r="486" customFormat="false" ht="15.75" hidden="false" customHeight="true" outlineLevel="0" collapsed="false">
      <c r="J486" s="44"/>
      <c r="M486" s="45"/>
    </row>
    <row r="487" customFormat="false" ht="15.75" hidden="false" customHeight="true" outlineLevel="0" collapsed="false">
      <c r="J487" s="44"/>
      <c r="M487" s="45"/>
    </row>
    <row r="488" customFormat="false" ht="15.75" hidden="false" customHeight="true" outlineLevel="0" collapsed="false">
      <c r="J488" s="44"/>
      <c r="M488" s="45"/>
    </row>
    <row r="489" customFormat="false" ht="15.75" hidden="false" customHeight="true" outlineLevel="0" collapsed="false">
      <c r="J489" s="44"/>
      <c r="M489" s="45"/>
    </row>
    <row r="490" customFormat="false" ht="15.75" hidden="false" customHeight="true" outlineLevel="0" collapsed="false">
      <c r="J490" s="44"/>
      <c r="M490" s="45"/>
    </row>
    <row r="491" customFormat="false" ht="15.75" hidden="false" customHeight="true" outlineLevel="0" collapsed="false">
      <c r="J491" s="44"/>
      <c r="M491" s="45"/>
    </row>
    <row r="492" customFormat="false" ht="15.75" hidden="false" customHeight="true" outlineLevel="0" collapsed="false">
      <c r="J492" s="44"/>
      <c r="M492" s="45"/>
    </row>
    <row r="493" customFormat="false" ht="15.75" hidden="false" customHeight="true" outlineLevel="0" collapsed="false">
      <c r="J493" s="44"/>
      <c r="M493" s="45"/>
    </row>
    <row r="494" customFormat="false" ht="15.75" hidden="false" customHeight="true" outlineLevel="0" collapsed="false">
      <c r="J494" s="44"/>
      <c r="M494" s="45"/>
    </row>
    <row r="495" customFormat="false" ht="15.75" hidden="false" customHeight="true" outlineLevel="0" collapsed="false">
      <c r="J495" s="44"/>
      <c r="M495" s="45"/>
    </row>
    <row r="496" customFormat="false" ht="15.75" hidden="false" customHeight="true" outlineLevel="0" collapsed="false">
      <c r="J496" s="44"/>
      <c r="M496" s="45"/>
    </row>
    <row r="497" customFormat="false" ht="15.75" hidden="false" customHeight="true" outlineLevel="0" collapsed="false">
      <c r="J497" s="44"/>
      <c r="M497" s="45"/>
    </row>
    <row r="498" customFormat="false" ht="15.75" hidden="false" customHeight="true" outlineLevel="0" collapsed="false">
      <c r="J498" s="44"/>
      <c r="M498" s="45"/>
    </row>
    <row r="499" customFormat="false" ht="15.75" hidden="false" customHeight="true" outlineLevel="0" collapsed="false">
      <c r="J499" s="44"/>
      <c r="M499" s="45"/>
    </row>
    <row r="500" customFormat="false" ht="15.75" hidden="false" customHeight="true" outlineLevel="0" collapsed="false">
      <c r="J500" s="44"/>
      <c r="M500" s="45"/>
    </row>
    <row r="501" customFormat="false" ht="15.75" hidden="false" customHeight="true" outlineLevel="0" collapsed="false">
      <c r="J501" s="44"/>
      <c r="M501" s="45"/>
    </row>
    <row r="502" customFormat="false" ht="15.75" hidden="false" customHeight="true" outlineLevel="0" collapsed="false">
      <c r="J502" s="44"/>
      <c r="M502" s="45"/>
    </row>
    <row r="503" customFormat="false" ht="15.75" hidden="false" customHeight="true" outlineLevel="0" collapsed="false">
      <c r="J503" s="44"/>
      <c r="M503" s="45"/>
    </row>
    <row r="504" customFormat="false" ht="15.75" hidden="false" customHeight="true" outlineLevel="0" collapsed="false">
      <c r="J504" s="44"/>
      <c r="M504" s="45"/>
    </row>
    <row r="505" customFormat="false" ht="15.75" hidden="false" customHeight="true" outlineLevel="0" collapsed="false">
      <c r="J505" s="44"/>
      <c r="M505" s="45"/>
    </row>
    <row r="506" customFormat="false" ht="15.75" hidden="false" customHeight="true" outlineLevel="0" collapsed="false">
      <c r="J506" s="44"/>
      <c r="M506" s="45"/>
    </row>
    <row r="507" customFormat="false" ht="15.75" hidden="false" customHeight="true" outlineLevel="0" collapsed="false">
      <c r="J507" s="44"/>
      <c r="M507" s="45"/>
    </row>
    <row r="508" customFormat="false" ht="15.75" hidden="false" customHeight="true" outlineLevel="0" collapsed="false">
      <c r="J508" s="44"/>
      <c r="M508" s="45"/>
    </row>
    <row r="509" customFormat="false" ht="15.75" hidden="false" customHeight="true" outlineLevel="0" collapsed="false">
      <c r="J509" s="44"/>
      <c r="M509" s="45"/>
    </row>
    <row r="510" customFormat="false" ht="15.75" hidden="false" customHeight="true" outlineLevel="0" collapsed="false">
      <c r="J510" s="44"/>
      <c r="M510" s="45"/>
    </row>
    <row r="511" customFormat="false" ht="15.75" hidden="false" customHeight="true" outlineLevel="0" collapsed="false">
      <c r="J511" s="44"/>
      <c r="M511" s="45"/>
    </row>
    <row r="512" customFormat="false" ht="15.75" hidden="false" customHeight="true" outlineLevel="0" collapsed="false">
      <c r="J512" s="44"/>
      <c r="M512" s="45"/>
    </row>
    <row r="513" customFormat="false" ht="15.75" hidden="false" customHeight="true" outlineLevel="0" collapsed="false">
      <c r="J513" s="44"/>
      <c r="M513" s="45"/>
    </row>
    <row r="514" customFormat="false" ht="15.75" hidden="false" customHeight="true" outlineLevel="0" collapsed="false">
      <c r="J514" s="44"/>
      <c r="M514" s="45"/>
    </row>
    <row r="515" customFormat="false" ht="15.75" hidden="false" customHeight="true" outlineLevel="0" collapsed="false">
      <c r="J515" s="44"/>
      <c r="M515" s="45"/>
    </row>
    <row r="516" customFormat="false" ht="15.75" hidden="false" customHeight="true" outlineLevel="0" collapsed="false">
      <c r="J516" s="44"/>
      <c r="M516" s="45"/>
    </row>
    <row r="517" customFormat="false" ht="15.75" hidden="false" customHeight="true" outlineLevel="0" collapsed="false">
      <c r="J517" s="44"/>
      <c r="M517" s="45"/>
    </row>
    <row r="518" customFormat="false" ht="15.75" hidden="false" customHeight="true" outlineLevel="0" collapsed="false">
      <c r="J518" s="44"/>
      <c r="M518" s="45"/>
    </row>
    <row r="519" customFormat="false" ht="15.75" hidden="false" customHeight="true" outlineLevel="0" collapsed="false">
      <c r="J519" s="44"/>
      <c r="M519" s="45"/>
    </row>
    <row r="520" customFormat="false" ht="15.75" hidden="false" customHeight="true" outlineLevel="0" collapsed="false">
      <c r="J520" s="44"/>
      <c r="M520" s="45"/>
    </row>
    <row r="521" customFormat="false" ht="15.75" hidden="false" customHeight="true" outlineLevel="0" collapsed="false">
      <c r="J521" s="44"/>
      <c r="M521" s="45"/>
    </row>
    <row r="522" customFormat="false" ht="15.75" hidden="false" customHeight="true" outlineLevel="0" collapsed="false">
      <c r="J522" s="44"/>
      <c r="M522" s="45"/>
    </row>
    <row r="523" customFormat="false" ht="15.75" hidden="false" customHeight="true" outlineLevel="0" collapsed="false">
      <c r="J523" s="44"/>
      <c r="M523" s="45"/>
    </row>
    <row r="524" customFormat="false" ht="15.75" hidden="false" customHeight="true" outlineLevel="0" collapsed="false">
      <c r="J524" s="44"/>
      <c r="M524" s="45"/>
    </row>
    <row r="525" customFormat="false" ht="15.75" hidden="false" customHeight="true" outlineLevel="0" collapsed="false">
      <c r="J525" s="44"/>
      <c r="M525" s="45"/>
    </row>
    <row r="526" customFormat="false" ht="15.75" hidden="false" customHeight="true" outlineLevel="0" collapsed="false">
      <c r="J526" s="44"/>
      <c r="M526" s="45"/>
    </row>
    <row r="527" customFormat="false" ht="15.75" hidden="false" customHeight="true" outlineLevel="0" collapsed="false">
      <c r="J527" s="44"/>
      <c r="M527" s="45"/>
    </row>
    <row r="528" customFormat="false" ht="15.75" hidden="false" customHeight="true" outlineLevel="0" collapsed="false">
      <c r="J528" s="44"/>
      <c r="M528" s="45"/>
    </row>
    <row r="529" customFormat="false" ht="15.75" hidden="false" customHeight="true" outlineLevel="0" collapsed="false">
      <c r="J529" s="44"/>
      <c r="M529" s="45"/>
    </row>
    <row r="530" customFormat="false" ht="15.75" hidden="false" customHeight="true" outlineLevel="0" collapsed="false">
      <c r="J530" s="44"/>
      <c r="M530" s="45"/>
    </row>
    <row r="531" customFormat="false" ht="15.75" hidden="false" customHeight="true" outlineLevel="0" collapsed="false">
      <c r="J531" s="44"/>
      <c r="M531" s="45"/>
    </row>
    <row r="532" customFormat="false" ht="15.75" hidden="false" customHeight="true" outlineLevel="0" collapsed="false">
      <c r="J532" s="44"/>
      <c r="M532" s="45"/>
    </row>
    <row r="533" customFormat="false" ht="15.75" hidden="false" customHeight="true" outlineLevel="0" collapsed="false">
      <c r="J533" s="44"/>
      <c r="M533" s="45"/>
    </row>
    <row r="534" customFormat="false" ht="15.75" hidden="false" customHeight="true" outlineLevel="0" collapsed="false">
      <c r="J534" s="44"/>
      <c r="M534" s="45"/>
    </row>
    <row r="535" customFormat="false" ht="15.75" hidden="false" customHeight="true" outlineLevel="0" collapsed="false">
      <c r="J535" s="44"/>
      <c r="M535" s="45"/>
    </row>
    <row r="536" customFormat="false" ht="15.75" hidden="false" customHeight="true" outlineLevel="0" collapsed="false">
      <c r="J536" s="44"/>
      <c r="M536" s="45"/>
    </row>
    <row r="537" customFormat="false" ht="15.75" hidden="false" customHeight="true" outlineLevel="0" collapsed="false">
      <c r="J537" s="44"/>
      <c r="M537" s="45"/>
    </row>
    <row r="538" customFormat="false" ht="15.75" hidden="false" customHeight="true" outlineLevel="0" collapsed="false">
      <c r="J538" s="44"/>
      <c r="M538" s="45"/>
    </row>
    <row r="539" customFormat="false" ht="15.75" hidden="false" customHeight="true" outlineLevel="0" collapsed="false">
      <c r="J539" s="44"/>
      <c r="M539" s="45"/>
    </row>
    <row r="540" customFormat="false" ht="15.75" hidden="false" customHeight="true" outlineLevel="0" collapsed="false">
      <c r="J540" s="44"/>
      <c r="M540" s="45"/>
    </row>
    <row r="541" customFormat="false" ht="15.75" hidden="false" customHeight="true" outlineLevel="0" collapsed="false">
      <c r="J541" s="44"/>
      <c r="M541" s="45"/>
    </row>
    <row r="542" customFormat="false" ht="15.75" hidden="false" customHeight="true" outlineLevel="0" collapsed="false">
      <c r="J542" s="44"/>
      <c r="M542" s="45"/>
    </row>
    <row r="543" customFormat="false" ht="15.75" hidden="false" customHeight="true" outlineLevel="0" collapsed="false">
      <c r="J543" s="44"/>
      <c r="M543" s="45"/>
    </row>
    <row r="544" customFormat="false" ht="15.75" hidden="false" customHeight="true" outlineLevel="0" collapsed="false">
      <c r="J544" s="44"/>
      <c r="M544" s="45"/>
    </row>
    <row r="545" customFormat="false" ht="15.75" hidden="false" customHeight="true" outlineLevel="0" collapsed="false">
      <c r="J545" s="44"/>
      <c r="M545" s="45"/>
    </row>
    <row r="546" customFormat="false" ht="15.75" hidden="false" customHeight="true" outlineLevel="0" collapsed="false">
      <c r="J546" s="44"/>
      <c r="M546" s="45"/>
    </row>
    <row r="547" customFormat="false" ht="15.75" hidden="false" customHeight="true" outlineLevel="0" collapsed="false">
      <c r="J547" s="44"/>
      <c r="M547" s="45"/>
    </row>
    <row r="548" customFormat="false" ht="15.75" hidden="false" customHeight="true" outlineLevel="0" collapsed="false">
      <c r="J548" s="44"/>
      <c r="M548" s="45"/>
    </row>
    <row r="549" customFormat="false" ht="15.75" hidden="false" customHeight="true" outlineLevel="0" collapsed="false">
      <c r="J549" s="44"/>
      <c r="M549" s="45"/>
    </row>
    <row r="550" customFormat="false" ht="15.75" hidden="false" customHeight="true" outlineLevel="0" collapsed="false">
      <c r="J550" s="44"/>
      <c r="M550" s="45"/>
    </row>
    <row r="551" customFormat="false" ht="15.75" hidden="false" customHeight="true" outlineLevel="0" collapsed="false">
      <c r="J551" s="44"/>
      <c r="M551" s="45"/>
    </row>
    <row r="552" customFormat="false" ht="15.75" hidden="false" customHeight="true" outlineLevel="0" collapsed="false">
      <c r="J552" s="44"/>
      <c r="M552" s="45"/>
    </row>
    <row r="553" customFormat="false" ht="15.75" hidden="false" customHeight="true" outlineLevel="0" collapsed="false">
      <c r="J553" s="44"/>
      <c r="M553" s="45"/>
    </row>
    <row r="554" customFormat="false" ht="15.75" hidden="false" customHeight="true" outlineLevel="0" collapsed="false">
      <c r="J554" s="44"/>
      <c r="M554" s="45"/>
    </row>
    <row r="555" customFormat="false" ht="15.75" hidden="false" customHeight="true" outlineLevel="0" collapsed="false">
      <c r="J555" s="44"/>
      <c r="M555" s="45"/>
    </row>
    <row r="556" customFormat="false" ht="15.75" hidden="false" customHeight="true" outlineLevel="0" collapsed="false">
      <c r="J556" s="44"/>
      <c r="M556" s="45"/>
    </row>
    <row r="557" customFormat="false" ht="15.75" hidden="false" customHeight="true" outlineLevel="0" collapsed="false">
      <c r="J557" s="44"/>
      <c r="M557" s="45"/>
    </row>
    <row r="558" customFormat="false" ht="15.75" hidden="false" customHeight="true" outlineLevel="0" collapsed="false">
      <c r="J558" s="44"/>
      <c r="M558" s="45"/>
    </row>
    <row r="559" customFormat="false" ht="15.75" hidden="false" customHeight="true" outlineLevel="0" collapsed="false">
      <c r="J559" s="44"/>
      <c r="M559" s="45"/>
    </row>
    <row r="560" customFormat="false" ht="15.75" hidden="false" customHeight="true" outlineLevel="0" collapsed="false">
      <c r="J560" s="44"/>
      <c r="M560" s="45"/>
    </row>
    <row r="561" customFormat="false" ht="15.75" hidden="false" customHeight="true" outlineLevel="0" collapsed="false">
      <c r="J561" s="44"/>
      <c r="M561" s="45"/>
    </row>
    <row r="562" customFormat="false" ht="15.75" hidden="false" customHeight="true" outlineLevel="0" collapsed="false">
      <c r="J562" s="44"/>
      <c r="M562" s="45"/>
    </row>
    <row r="563" customFormat="false" ht="15.75" hidden="false" customHeight="true" outlineLevel="0" collapsed="false">
      <c r="J563" s="44"/>
      <c r="M563" s="45"/>
    </row>
    <row r="564" customFormat="false" ht="15.75" hidden="false" customHeight="true" outlineLevel="0" collapsed="false">
      <c r="J564" s="44"/>
      <c r="M564" s="45"/>
    </row>
    <row r="565" customFormat="false" ht="15.75" hidden="false" customHeight="true" outlineLevel="0" collapsed="false">
      <c r="J565" s="44"/>
      <c r="M565" s="45"/>
    </row>
    <row r="566" customFormat="false" ht="15.75" hidden="false" customHeight="true" outlineLevel="0" collapsed="false">
      <c r="J566" s="44"/>
      <c r="M566" s="45"/>
    </row>
    <row r="567" customFormat="false" ht="15.75" hidden="false" customHeight="true" outlineLevel="0" collapsed="false">
      <c r="J567" s="44"/>
      <c r="M567" s="45"/>
    </row>
    <row r="568" customFormat="false" ht="15.75" hidden="false" customHeight="true" outlineLevel="0" collapsed="false">
      <c r="J568" s="44"/>
      <c r="M568" s="45"/>
    </row>
    <row r="569" customFormat="false" ht="15.75" hidden="false" customHeight="true" outlineLevel="0" collapsed="false">
      <c r="J569" s="44"/>
      <c r="M569" s="45"/>
    </row>
    <row r="570" customFormat="false" ht="15.75" hidden="false" customHeight="true" outlineLevel="0" collapsed="false">
      <c r="J570" s="44"/>
      <c r="M570" s="45"/>
    </row>
    <row r="571" customFormat="false" ht="15.75" hidden="false" customHeight="true" outlineLevel="0" collapsed="false">
      <c r="J571" s="44"/>
      <c r="M571" s="45"/>
    </row>
    <row r="572" customFormat="false" ht="15.75" hidden="false" customHeight="true" outlineLevel="0" collapsed="false">
      <c r="J572" s="44"/>
      <c r="M572" s="45"/>
    </row>
    <row r="573" customFormat="false" ht="15.75" hidden="false" customHeight="true" outlineLevel="0" collapsed="false">
      <c r="J573" s="44"/>
      <c r="M573" s="45"/>
    </row>
    <row r="574" customFormat="false" ht="15.75" hidden="false" customHeight="true" outlineLevel="0" collapsed="false">
      <c r="J574" s="44"/>
      <c r="M574" s="45"/>
    </row>
    <row r="575" customFormat="false" ht="15.75" hidden="false" customHeight="true" outlineLevel="0" collapsed="false">
      <c r="J575" s="44"/>
      <c r="M575" s="45"/>
    </row>
    <row r="576" customFormat="false" ht="15.75" hidden="false" customHeight="true" outlineLevel="0" collapsed="false">
      <c r="J576" s="44"/>
      <c r="M576" s="45"/>
    </row>
    <row r="577" customFormat="false" ht="15.75" hidden="false" customHeight="true" outlineLevel="0" collapsed="false">
      <c r="J577" s="44"/>
      <c r="M577" s="45"/>
    </row>
    <row r="578" customFormat="false" ht="15.75" hidden="false" customHeight="true" outlineLevel="0" collapsed="false">
      <c r="J578" s="44"/>
      <c r="M578" s="45"/>
    </row>
    <row r="579" customFormat="false" ht="15.75" hidden="false" customHeight="true" outlineLevel="0" collapsed="false">
      <c r="J579" s="44"/>
      <c r="M579" s="45"/>
    </row>
    <row r="580" customFormat="false" ht="15.75" hidden="false" customHeight="true" outlineLevel="0" collapsed="false">
      <c r="J580" s="44"/>
      <c r="M580" s="45"/>
    </row>
    <row r="581" customFormat="false" ht="15.75" hidden="false" customHeight="true" outlineLevel="0" collapsed="false">
      <c r="J581" s="44"/>
      <c r="M581" s="45"/>
    </row>
    <row r="582" customFormat="false" ht="15.75" hidden="false" customHeight="true" outlineLevel="0" collapsed="false">
      <c r="J582" s="44"/>
      <c r="M582" s="45"/>
    </row>
    <row r="583" customFormat="false" ht="15.75" hidden="false" customHeight="true" outlineLevel="0" collapsed="false">
      <c r="J583" s="44"/>
      <c r="M583" s="45"/>
    </row>
    <row r="584" customFormat="false" ht="15.75" hidden="false" customHeight="true" outlineLevel="0" collapsed="false">
      <c r="J584" s="44"/>
      <c r="M584" s="45"/>
    </row>
    <row r="585" customFormat="false" ht="15.75" hidden="false" customHeight="true" outlineLevel="0" collapsed="false">
      <c r="J585" s="44"/>
      <c r="M585" s="45"/>
    </row>
    <row r="586" customFormat="false" ht="15.75" hidden="false" customHeight="true" outlineLevel="0" collapsed="false">
      <c r="J586" s="44"/>
      <c r="M586" s="45"/>
    </row>
    <row r="587" customFormat="false" ht="15.75" hidden="false" customHeight="true" outlineLevel="0" collapsed="false">
      <c r="J587" s="44"/>
      <c r="M587" s="45"/>
    </row>
    <row r="588" customFormat="false" ht="15.75" hidden="false" customHeight="true" outlineLevel="0" collapsed="false">
      <c r="J588" s="44"/>
      <c r="M588" s="45"/>
    </row>
    <row r="589" customFormat="false" ht="15.75" hidden="false" customHeight="true" outlineLevel="0" collapsed="false">
      <c r="J589" s="44"/>
      <c r="M589" s="45"/>
    </row>
    <row r="590" customFormat="false" ht="15.75" hidden="false" customHeight="true" outlineLevel="0" collapsed="false">
      <c r="J590" s="44"/>
      <c r="M590" s="45"/>
    </row>
    <row r="591" customFormat="false" ht="15.75" hidden="false" customHeight="true" outlineLevel="0" collapsed="false">
      <c r="J591" s="44"/>
      <c r="M591" s="45"/>
    </row>
    <row r="592" customFormat="false" ht="15.75" hidden="false" customHeight="true" outlineLevel="0" collapsed="false">
      <c r="J592" s="44"/>
      <c r="M592" s="45"/>
    </row>
    <row r="593" customFormat="false" ht="15.75" hidden="false" customHeight="true" outlineLevel="0" collapsed="false">
      <c r="J593" s="44"/>
      <c r="M593" s="45"/>
    </row>
    <row r="594" customFormat="false" ht="15.75" hidden="false" customHeight="true" outlineLevel="0" collapsed="false">
      <c r="J594" s="44"/>
      <c r="M594" s="45"/>
    </row>
    <row r="595" customFormat="false" ht="15.75" hidden="false" customHeight="true" outlineLevel="0" collapsed="false">
      <c r="J595" s="44"/>
      <c r="M595" s="45"/>
    </row>
    <row r="596" customFormat="false" ht="15.75" hidden="false" customHeight="true" outlineLevel="0" collapsed="false">
      <c r="J596" s="44"/>
      <c r="M596" s="45"/>
    </row>
    <row r="597" customFormat="false" ht="15.75" hidden="false" customHeight="true" outlineLevel="0" collapsed="false">
      <c r="J597" s="44"/>
      <c r="M597" s="45"/>
    </row>
    <row r="598" customFormat="false" ht="15.75" hidden="false" customHeight="true" outlineLevel="0" collapsed="false">
      <c r="J598" s="44"/>
      <c r="M598" s="45"/>
    </row>
    <row r="599" customFormat="false" ht="15.75" hidden="false" customHeight="true" outlineLevel="0" collapsed="false">
      <c r="J599" s="44"/>
      <c r="M599" s="45"/>
    </row>
    <row r="600" customFormat="false" ht="15.75" hidden="false" customHeight="true" outlineLevel="0" collapsed="false">
      <c r="J600" s="44"/>
      <c r="M600" s="45"/>
    </row>
    <row r="601" customFormat="false" ht="15.75" hidden="false" customHeight="true" outlineLevel="0" collapsed="false">
      <c r="J601" s="44"/>
      <c r="M601" s="45"/>
    </row>
    <row r="602" customFormat="false" ht="15.75" hidden="false" customHeight="true" outlineLevel="0" collapsed="false">
      <c r="J602" s="44"/>
      <c r="M602" s="45"/>
    </row>
    <row r="603" customFormat="false" ht="15.75" hidden="false" customHeight="true" outlineLevel="0" collapsed="false">
      <c r="J603" s="44"/>
      <c r="M603" s="45"/>
    </row>
    <row r="604" customFormat="false" ht="15.75" hidden="false" customHeight="true" outlineLevel="0" collapsed="false">
      <c r="J604" s="44"/>
      <c r="M604" s="45"/>
    </row>
    <row r="605" customFormat="false" ht="15.75" hidden="false" customHeight="true" outlineLevel="0" collapsed="false">
      <c r="J605" s="44"/>
      <c r="M605" s="45"/>
    </row>
    <row r="606" customFormat="false" ht="15.75" hidden="false" customHeight="true" outlineLevel="0" collapsed="false">
      <c r="J606" s="44"/>
      <c r="M606" s="45"/>
    </row>
    <row r="607" customFormat="false" ht="15.75" hidden="false" customHeight="true" outlineLevel="0" collapsed="false">
      <c r="J607" s="44"/>
      <c r="M607" s="45"/>
    </row>
    <row r="608" customFormat="false" ht="15.75" hidden="false" customHeight="true" outlineLevel="0" collapsed="false">
      <c r="J608" s="44"/>
      <c r="M608" s="45"/>
    </row>
    <row r="609" customFormat="false" ht="15.75" hidden="false" customHeight="true" outlineLevel="0" collapsed="false">
      <c r="J609" s="44"/>
      <c r="M609" s="45"/>
    </row>
    <row r="610" customFormat="false" ht="15.75" hidden="false" customHeight="true" outlineLevel="0" collapsed="false">
      <c r="J610" s="44"/>
      <c r="M610" s="45"/>
    </row>
    <row r="611" customFormat="false" ht="15.75" hidden="false" customHeight="true" outlineLevel="0" collapsed="false">
      <c r="J611" s="44"/>
      <c r="M611" s="45"/>
    </row>
    <row r="612" customFormat="false" ht="15.75" hidden="false" customHeight="true" outlineLevel="0" collapsed="false">
      <c r="J612" s="44"/>
      <c r="M612" s="45"/>
    </row>
    <row r="613" customFormat="false" ht="15.75" hidden="false" customHeight="true" outlineLevel="0" collapsed="false">
      <c r="J613" s="44"/>
      <c r="M613" s="45"/>
    </row>
    <row r="614" customFormat="false" ht="15.75" hidden="false" customHeight="true" outlineLevel="0" collapsed="false">
      <c r="J614" s="44"/>
      <c r="M614" s="45"/>
    </row>
    <row r="615" customFormat="false" ht="15.75" hidden="false" customHeight="true" outlineLevel="0" collapsed="false">
      <c r="J615" s="44"/>
      <c r="M615" s="45"/>
    </row>
    <row r="616" customFormat="false" ht="15.75" hidden="false" customHeight="true" outlineLevel="0" collapsed="false">
      <c r="J616" s="44"/>
      <c r="M616" s="45"/>
    </row>
    <row r="617" customFormat="false" ht="15.75" hidden="false" customHeight="true" outlineLevel="0" collapsed="false">
      <c r="J617" s="44"/>
      <c r="M617" s="45"/>
    </row>
    <row r="618" customFormat="false" ht="15.75" hidden="false" customHeight="true" outlineLevel="0" collapsed="false">
      <c r="J618" s="44"/>
      <c r="M618" s="45"/>
    </row>
    <row r="619" customFormat="false" ht="15.75" hidden="false" customHeight="true" outlineLevel="0" collapsed="false">
      <c r="J619" s="44"/>
      <c r="M619" s="45"/>
    </row>
    <row r="620" customFormat="false" ht="15.75" hidden="false" customHeight="true" outlineLevel="0" collapsed="false">
      <c r="J620" s="44"/>
      <c r="M620" s="45"/>
    </row>
    <row r="621" customFormat="false" ht="15.75" hidden="false" customHeight="true" outlineLevel="0" collapsed="false">
      <c r="J621" s="44"/>
      <c r="M621" s="45"/>
    </row>
    <row r="622" customFormat="false" ht="15.75" hidden="false" customHeight="true" outlineLevel="0" collapsed="false">
      <c r="J622" s="44"/>
      <c r="M622" s="45"/>
    </row>
    <row r="623" customFormat="false" ht="15.75" hidden="false" customHeight="true" outlineLevel="0" collapsed="false">
      <c r="J623" s="44"/>
      <c r="M623" s="45"/>
    </row>
    <row r="624" customFormat="false" ht="15.75" hidden="false" customHeight="true" outlineLevel="0" collapsed="false">
      <c r="J624" s="44"/>
      <c r="M624" s="45"/>
    </row>
    <row r="625" customFormat="false" ht="15.75" hidden="false" customHeight="true" outlineLevel="0" collapsed="false">
      <c r="J625" s="44"/>
      <c r="M625" s="45"/>
    </row>
    <row r="626" customFormat="false" ht="15.75" hidden="false" customHeight="true" outlineLevel="0" collapsed="false">
      <c r="J626" s="44"/>
      <c r="M626" s="45"/>
    </row>
    <row r="627" customFormat="false" ht="15.75" hidden="false" customHeight="true" outlineLevel="0" collapsed="false">
      <c r="J627" s="44"/>
      <c r="M627" s="45"/>
    </row>
    <row r="628" customFormat="false" ht="15.75" hidden="false" customHeight="true" outlineLevel="0" collapsed="false">
      <c r="J628" s="44"/>
      <c r="M628" s="45"/>
    </row>
    <row r="629" customFormat="false" ht="15.75" hidden="false" customHeight="true" outlineLevel="0" collapsed="false">
      <c r="J629" s="44"/>
      <c r="M629" s="45"/>
    </row>
    <row r="630" customFormat="false" ht="15.75" hidden="false" customHeight="true" outlineLevel="0" collapsed="false">
      <c r="J630" s="44"/>
      <c r="M630" s="45"/>
    </row>
    <row r="631" customFormat="false" ht="15.75" hidden="false" customHeight="true" outlineLevel="0" collapsed="false">
      <c r="J631" s="44"/>
      <c r="M631" s="45"/>
    </row>
    <row r="632" customFormat="false" ht="15.75" hidden="false" customHeight="true" outlineLevel="0" collapsed="false">
      <c r="J632" s="44"/>
      <c r="M632" s="45"/>
    </row>
    <row r="633" customFormat="false" ht="15.75" hidden="false" customHeight="true" outlineLevel="0" collapsed="false">
      <c r="J633" s="44"/>
      <c r="M633" s="45"/>
    </row>
    <row r="634" customFormat="false" ht="15.75" hidden="false" customHeight="true" outlineLevel="0" collapsed="false">
      <c r="J634" s="44"/>
      <c r="M634" s="45"/>
    </row>
    <row r="635" customFormat="false" ht="15.75" hidden="false" customHeight="true" outlineLevel="0" collapsed="false">
      <c r="J635" s="44"/>
      <c r="M635" s="45"/>
    </row>
    <row r="636" customFormat="false" ht="15.75" hidden="false" customHeight="true" outlineLevel="0" collapsed="false">
      <c r="J636" s="44"/>
      <c r="M636" s="45"/>
    </row>
    <row r="637" customFormat="false" ht="15.75" hidden="false" customHeight="true" outlineLevel="0" collapsed="false">
      <c r="J637" s="44"/>
      <c r="M637" s="45"/>
    </row>
    <row r="638" customFormat="false" ht="15.75" hidden="false" customHeight="true" outlineLevel="0" collapsed="false">
      <c r="J638" s="44"/>
      <c r="M638" s="45"/>
    </row>
    <row r="639" customFormat="false" ht="15.75" hidden="false" customHeight="true" outlineLevel="0" collapsed="false">
      <c r="J639" s="44"/>
      <c r="M639" s="45"/>
    </row>
    <row r="640" customFormat="false" ht="15.75" hidden="false" customHeight="true" outlineLevel="0" collapsed="false">
      <c r="J640" s="44"/>
      <c r="M640" s="45"/>
    </row>
    <row r="641" customFormat="false" ht="15.75" hidden="false" customHeight="true" outlineLevel="0" collapsed="false">
      <c r="J641" s="44"/>
      <c r="M641" s="45"/>
    </row>
    <row r="642" customFormat="false" ht="15.75" hidden="false" customHeight="true" outlineLevel="0" collapsed="false">
      <c r="J642" s="44"/>
      <c r="M642" s="45"/>
    </row>
    <row r="643" customFormat="false" ht="15.75" hidden="false" customHeight="true" outlineLevel="0" collapsed="false">
      <c r="J643" s="44"/>
      <c r="M643" s="45"/>
    </row>
    <row r="644" customFormat="false" ht="15.75" hidden="false" customHeight="true" outlineLevel="0" collapsed="false">
      <c r="J644" s="44"/>
      <c r="M644" s="45"/>
    </row>
    <row r="645" customFormat="false" ht="15.75" hidden="false" customHeight="true" outlineLevel="0" collapsed="false">
      <c r="J645" s="44"/>
      <c r="M645" s="45"/>
    </row>
    <row r="646" customFormat="false" ht="15.75" hidden="false" customHeight="true" outlineLevel="0" collapsed="false">
      <c r="J646" s="44"/>
      <c r="M646" s="45"/>
    </row>
    <row r="647" customFormat="false" ht="15.75" hidden="false" customHeight="true" outlineLevel="0" collapsed="false">
      <c r="J647" s="44"/>
      <c r="M647" s="45"/>
    </row>
    <row r="648" customFormat="false" ht="15.75" hidden="false" customHeight="true" outlineLevel="0" collapsed="false">
      <c r="J648" s="44"/>
      <c r="M648" s="45"/>
    </row>
    <row r="649" customFormat="false" ht="15.75" hidden="false" customHeight="true" outlineLevel="0" collapsed="false">
      <c r="J649" s="44"/>
      <c r="M649" s="45"/>
    </row>
    <row r="650" customFormat="false" ht="15.75" hidden="false" customHeight="true" outlineLevel="0" collapsed="false">
      <c r="J650" s="44"/>
      <c r="M650" s="45"/>
    </row>
    <row r="651" customFormat="false" ht="15.75" hidden="false" customHeight="true" outlineLevel="0" collapsed="false">
      <c r="J651" s="44"/>
      <c r="M651" s="45"/>
    </row>
    <row r="652" customFormat="false" ht="15.75" hidden="false" customHeight="true" outlineLevel="0" collapsed="false">
      <c r="J652" s="44"/>
      <c r="M652" s="45"/>
    </row>
    <row r="653" customFormat="false" ht="15.75" hidden="false" customHeight="true" outlineLevel="0" collapsed="false">
      <c r="J653" s="44"/>
      <c r="M653" s="45"/>
    </row>
    <row r="654" customFormat="false" ht="15.75" hidden="false" customHeight="true" outlineLevel="0" collapsed="false">
      <c r="J654" s="44"/>
      <c r="M654" s="45"/>
    </row>
    <row r="655" customFormat="false" ht="15.75" hidden="false" customHeight="true" outlineLevel="0" collapsed="false">
      <c r="J655" s="44"/>
      <c r="M655" s="45"/>
    </row>
    <row r="656" customFormat="false" ht="15.75" hidden="false" customHeight="true" outlineLevel="0" collapsed="false">
      <c r="J656" s="44"/>
      <c r="M656" s="45"/>
    </row>
    <row r="657" customFormat="false" ht="15.75" hidden="false" customHeight="true" outlineLevel="0" collapsed="false">
      <c r="J657" s="44"/>
      <c r="M657" s="45"/>
    </row>
    <row r="658" customFormat="false" ht="15.75" hidden="false" customHeight="true" outlineLevel="0" collapsed="false">
      <c r="J658" s="44"/>
      <c r="M658" s="45"/>
    </row>
    <row r="659" customFormat="false" ht="15.75" hidden="false" customHeight="true" outlineLevel="0" collapsed="false">
      <c r="J659" s="44"/>
      <c r="M659" s="45"/>
    </row>
    <row r="660" customFormat="false" ht="15.75" hidden="false" customHeight="true" outlineLevel="0" collapsed="false">
      <c r="J660" s="44"/>
      <c r="M660" s="45"/>
    </row>
    <row r="661" customFormat="false" ht="15.75" hidden="false" customHeight="true" outlineLevel="0" collapsed="false">
      <c r="J661" s="44"/>
      <c r="M661" s="45"/>
    </row>
    <row r="662" customFormat="false" ht="15.75" hidden="false" customHeight="true" outlineLevel="0" collapsed="false">
      <c r="J662" s="44"/>
      <c r="M662" s="45"/>
    </row>
    <row r="663" customFormat="false" ht="15.75" hidden="false" customHeight="true" outlineLevel="0" collapsed="false">
      <c r="J663" s="44"/>
      <c r="M663" s="45"/>
    </row>
    <row r="664" customFormat="false" ht="15.75" hidden="false" customHeight="true" outlineLevel="0" collapsed="false">
      <c r="J664" s="44"/>
      <c r="M664" s="45"/>
    </row>
    <row r="665" customFormat="false" ht="15.75" hidden="false" customHeight="true" outlineLevel="0" collapsed="false">
      <c r="J665" s="44"/>
      <c r="M665" s="45"/>
    </row>
    <row r="666" customFormat="false" ht="15.75" hidden="false" customHeight="true" outlineLevel="0" collapsed="false">
      <c r="J666" s="44"/>
      <c r="M666" s="45"/>
    </row>
    <row r="667" customFormat="false" ht="15.75" hidden="false" customHeight="true" outlineLevel="0" collapsed="false">
      <c r="J667" s="44"/>
      <c r="M667" s="45"/>
    </row>
    <row r="668" customFormat="false" ht="15.75" hidden="false" customHeight="true" outlineLevel="0" collapsed="false">
      <c r="J668" s="44"/>
      <c r="M668" s="45"/>
    </row>
    <row r="669" customFormat="false" ht="15.75" hidden="false" customHeight="true" outlineLevel="0" collapsed="false">
      <c r="J669" s="44"/>
      <c r="M669" s="45"/>
    </row>
    <row r="670" customFormat="false" ht="15.75" hidden="false" customHeight="true" outlineLevel="0" collapsed="false">
      <c r="J670" s="44"/>
      <c r="M670" s="45"/>
    </row>
    <row r="671" customFormat="false" ht="15.75" hidden="false" customHeight="true" outlineLevel="0" collapsed="false">
      <c r="J671" s="44"/>
      <c r="M671" s="45"/>
    </row>
    <row r="672" customFormat="false" ht="15.75" hidden="false" customHeight="true" outlineLevel="0" collapsed="false">
      <c r="J672" s="44"/>
      <c r="M672" s="45"/>
    </row>
    <row r="673" customFormat="false" ht="15.75" hidden="false" customHeight="true" outlineLevel="0" collapsed="false">
      <c r="J673" s="44"/>
      <c r="M673" s="45"/>
    </row>
    <row r="674" customFormat="false" ht="15.75" hidden="false" customHeight="true" outlineLevel="0" collapsed="false">
      <c r="J674" s="44"/>
      <c r="M674" s="45"/>
    </row>
    <row r="675" customFormat="false" ht="15.75" hidden="false" customHeight="true" outlineLevel="0" collapsed="false">
      <c r="J675" s="44"/>
      <c r="M675" s="45"/>
    </row>
    <row r="676" customFormat="false" ht="15.75" hidden="false" customHeight="true" outlineLevel="0" collapsed="false">
      <c r="J676" s="44"/>
      <c r="M676" s="45"/>
    </row>
    <row r="677" customFormat="false" ht="15.75" hidden="false" customHeight="true" outlineLevel="0" collapsed="false">
      <c r="J677" s="44"/>
      <c r="M677" s="45"/>
    </row>
    <row r="678" customFormat="false" ht="15.75" hidden="false" customHeight="true" outlineLevel="0" collapsed="false">
      <c r="J678" s="44"/>
      <c r="M678" s="45"/>
    </row>
    <row r="679" customFormat="false" ht="15.75" hidden="false" customHeight="true" outlineLevel="0" collapsed="false">
      <c r="J679" s="44"/>
      <c r="M679" s="45"/>
    </row>
    <row r="680" customFormat="false" ht="15.75" hidden="false" customHeight="true" outlineLevel="0" collapsed="false">
      <c r="J680" s="44"/>
      <c r="M680" s="45"/>
    </row>
    <row r="681" customFormat="false" ht="15.75" hidden="false" customHeight="true" outlineLevel="0" collapsed="false">
      <c r="J681" s="44"/>
      <c r="M681" s="45"/>
    </row>
    <row r="682" customFormat="false" ht="15.75" hidden="false" customHeight="true" outlineLevel="0" collapsed="false">
      <c r="J682" s="44"/>
      <c r="M682" s="45"/>
    </row>
    <row r="683" customFormat="false" ht="15.75" hidden="false" customHeight="true" outlineLevel="0" collapsed="false">
      <c r="J683" s="44"/>
      <c r="M683" s="45"/>
    </row>
    <row r="684" customFormat="false" ht="15.75" hidden="false" customHeight="true" outlineLevel="0" collapsed="false">
      <c r="J684" s="44"/>
      <c r="M684" s="45"/>
    </row>
    <row r="685" customFormat="false" ht="15.75" hidden="false" customHeight="true" outlineLevel="0" collapsed="false">
      <c r="J685" s="44"/>
      <c r="M685" s="45"/>
    </row>
    <row r="686" customFormat="false" ht="15.75" hidden="false" customHeight="true" outlineLevel="0" collapsed="false">
      <c r="J686" s="44"/>
      <c r="M686" s="45"/>
    </row>
    <row r="687" customFormat="false" ht="15.75" hidden="false" customHeight="true" outlineLevel="0" collapsed="false">
      <c r="J687" s="44"/>
      <c r="M687" s="45"/>
    </row>
    <row r="688" customFormat="false" ht="15.75" hidden="false" customHeight="true" outlineLevel="0" collapsed="false">
      <c r="J688" s="44"/>
      <c r="M688" s="45"/>
    </row>
    <row r="689" customFormat="false" ht="15.75" hidden="false" customHeight="true" outlineLevel="0" collapsed="false">
      <c r="J689" s="44"/>
      <c r="M689" s="45"/>
    </row>
    <row r="690" customFormat="false" ht="15.75" hidden="false" customHeight="true" outlineLevel="0" collapsed="false">
      <c r="J690" s="44"/>
      <c r="M690" s="45"/>
    </row>
    <row r="691" customFormat="false" ht="15.75" hidden="false" customHeight="true" outlineLevel="0" collapsed="false">
      <c r="J691" s="44"/>
      <c r="M691" s="45"/>
    </row>
    <row r="692" customFormat="false" ht="15.75" hidden="false" customHeight="true" outlineLevel="0" collapsed="false">
      <c r="J692" s="44"/>
      <c r="M692" s="45"/>
    </row>
    <row r="693" customFormat="false" ht="15.75" hidden="false" customHeight="true" outlineLevel="0" collapsed="false">
      <c r="J693" s="44"/>
      <c r="M693" s="45"/>
    </row>
    <row r="694" customFormat="false" ht="15.75" hidden="false" customHeight="true" outlineLevel="0" collapsed="false">
      <c r="J694" s="44"/>
      <c r="M694" s="45"/>
    </row>
    <row r="695" customFormat="false" ht="15.75" hidden="false" customHeight="true" outlineLevel="0" collapsed="false">
      <c r="J695" s="44"/>
      <c r="M695" s="45"/>
    </row>
    <row r="696" customFormat="false" ht="15.75" hidden="false" customHeight="true" outlineLevel="0" collapsed="false">
      <c r="J696" s="44"/>
      <c r="M696" s="45"/>
    </row>
    <row r="697" customFormat="false" ht="15.75" hidden="false" customHeight="true" outlineLevel="0" collapsed="false">
      <c r="J697" s="44"/>
      <c r="M697" s="45"/>
    </row>
    <row r="698" customFormat="false" ht="15.75" hidden="false" customHeight="true" outlineLevel="0" collapsed="false">
      <c r="J698" s="44"/>
      <c r="M698" s="45"/>
    </row>
    <row r="699" customFormat="false" ht="15.75" hidden="false" customHeight="true" outlineLevel="0" collapsed="false">
      <c r="J699" s="44"/>
      <c r="M699" s="45"/>
    </row>
    <row r="700" customFormat="false" ht="15.75" hidden="false" customHeight="true" outlineLevel="0" collapsed="false">
      <c r="J700" s="44"/>
      <c r="M700" s="45"/>
    </row>
    <row r="701" customFormat="false" ht="15.75" hidden="false" customHeight="true" outlineLevel="0" collapsed="false">
      <c r="J701" s="44"/>
      <c r="M701" s="45"/>
    </row>
    <row r="702" customFormat="false" ht="15.75" hidden="false" customHeight="true" outlineLevel="0" collapsed="false">
      <c r="J702" s="44"/>
      <c r="M702" s="45"/>
    </row>
    <row r="703" customFormat="false" ht="15.75" hidden="false" customHeight="true" outlineLevel="0" collapsed="false">
      <c r="J703" s="44"/>
      <c r="M703" s="45"/>
    </row>
    <row r="704" customFormat="false" ht="15.75" hidden="false" customHeight="true" outlineLevel="0" collapsed="false">
      <c r="J704" s="44"/>
      <c r="M704" s="45"/>
    </row>
    <row r="705" customFormat="false" ht="15.75" hidden="false" customHeight="true" outlineLevel="0" collapsed="false">
      <c r="J705" s="44"/>
      <c r="M705" s="45"/>
    </row>
    <row r="706" customFormat="false" ht="15.75" hidden="false" customHeight="true" outlineLevel="0" collapsed="false">
      <c r="J706" s="44"/>
      <c r="M706" s="45"/>
    </row>
    <row r="707" customFormat="false" ht="15.75" hidden="false" customHeight="true" outlineLevel="0" collapsed="false">
      <c r="J707" s="44"/>
      <c r="M707" s="45"/>
    </row>
    <row r="708" customFormat="false" ht="15.75" hidden="false" customHeight="true" outlineLevel="0" collapsed="false">
      <c r="J708" s="44"/>
      <c r="M708" s="45"/>
    </row>
    <row r="709" customFormat="false" ht="15.75" hidden="false" customHeight="true" outlineLevel="0" collapsed="false">
      <c r="J709" s="44"/>
      <c r="M709" s="45"/>
    </row>
    <row r="710" customFormat="false" ht="15.75" hidden="false" customHeight="true" outlineLevel="0" collapsed="false">
      <c r="J710" s="44"/>
      <c r="M710" s="45"/>
    </row>
    <row r="711" customFormat="false" ht="15.75" hidden="false" customHeight="true" outlineLevel="0" collapsed="false">
      <c r="J711" s="44"/>
      <c r="M711" s="45"/>
    </row>
    <row r="712" customFormat="false" ht="15.75" hidden="false" customHeight="true" outlineLevel="0" collapsed="false">
      <c r="J712" s="44"/>
      <c r="M712" s="45"/>
    </row>
    <row r="713" customFormat="false" ht="15.75" hidden="false" customHeight="true" outlineLevel="0" collapsed="false">
      <c r="J713" s="44"/>
      <c r="M713" s="45"/>
    </row>
    <row r="714" customFormat="false" ht="15.75" hidden="false" customHeight="true" outlineLevel="0" collapsed="false">
      <c r="J714" s="44"/>
      <c r="M714" s="45"/>
    </row>
    <row r="715" customFormat="false" ht="15.75" hidden="false" customHeight="true" outlineLevel="0" collapsed="false">
      <c r="J715" s="44"/>
      <c r="M715" s="45"/>
    </row>
    <row r="716" customFormat="false" ht="15.75" hidden="false" customHeight="true" outlineLevel="0" collapsed="false">
      <c r="J716" s="44"/>
      <c r="M716" s="45"/>
    </row>
    <row r="717" customFormat="false" ht="15.75" hidden="false" customHeight="true" outlineLevel="0" collapsed="false">
      <c r="J717" s="44"/>
      <c r="M717" s="45"/>
    </row>
    <row r="718" customFormat="false" ht="15.75" hidden="false" customHeight="true" outlineLevel="0" collapsed="false">
      <c r="J718" s="44"/>
      <c r="M718" s="45"/>
    </row>
    <row r="719" customFormat="false" ht="15.75" hidden="false" customHeight="true" outlineLevel="0" collapsed="false">
      <c r="J719" s="44"/>
      <c r="M719" s="45"/>
    </row>
    <row r="720" customFormat="false" ht="15.75" hidden="false" customHeight="true" outlineLevel="0" collapsed="false">
      <c r="J720" s="44"/>
      <c r="M720" s="45"/>
    </row>
    <row r="721" customFormat="false" ht="15.75" hidden="false" customHeight="true" outlineLevel="0" collapsed="false">
      <c r="J721" s="44"/>
      <c r="M721" s="45"/>
    </row>
    <row r="722" customFormat="false" ht="15.75" hidden="false" customHeight="true" outlineLevel="0" collapsed="false">
      <c r="J722" s="44"/>
      <c r="M722" s="45"/>
    </row>
    <row r="723" customFormat="false" ht="15.75" hidden="false" customHeight="true" outlineLevel="0" collapsed="false">
      <c r="J723" s="44"/>
      <c r="M723" s="45"/>
    </row>
    <row r="724" customFormat="false" ht="15.75" hidden="false" customHeight="true" outlineLevel="0" collapsed="false">
      <c r="J724" s="44"/>
      <c r="M724" s="45"/>
    </row>
    <row r="725" customFormat="false" ht="15.75" hidden="false" customHeight="true" outlineLevel="0" collapsed="false">
      <c r="J725" s="44"/>
      <c r="M725" s="45"/>
    </row>
    <row r="726" customFormat="false" ht="15.75" hidden="false" customHeight="true" outlineLevel="0" collapsed="false">
      <c r="J726" s="44"/>
      <c r="M726" s="45"/>
    </row>
    <row r="727" customFormat="false" ht="15.75" hidden="false" customHeight="true" outlineLevel="0" collapsed="false">
      <c r="J727" s="44"/>
      <c r="M727" s="45"/>
    </row>
    <row r="728" customFormat="false" ht="15.75" hidden="false" customHeight="true" outlineLevel="0" collapsed="false">
      <c r="J728" s="44"/>
      <c r="M728" s="45"/>
    </row>
    <row r="729" customFormat="false" ht="15.75" hidden="false" customHeight="true" outlineLevel="0" collapsed="false">
      <c r="J729" s="44"/>
      <c r="M729" s="45"/>
    </row>
    <row r="730" customFormat="false" ht="15.75" hidden="false" customHeight="true" outlineLevel="0" collapsed="false">
      <c r="J730" s="44"/>
      <c r="M730" s="45"/>
    </row>
    <row r="731" customFormat="false" ht="15.75" hidden="false" customHeight="true" outlineLevel="0" collapsed="false">
      <c r="J731" s="44"/>
      <c r="M731" s="45"/>
    </row>
    <row r="732" customFormat="false" ht="15.75" hidden="false" customHeight="true" outlineLevel="0" collapsed="false">
      <c r="J732" s="44"/>
      <c r="M732" s="45"/>
    </row>
    <row r="733" customFormat="false" ht="15.75" hidden="false" customHeight="true" outlineLevel="0" collapsed="false">
      <c r="J733" s="44"/>
      <c r="M733" s="45"/>
    </row>
    <row r="734" customFormat="false" ht="15.75" hidden="false" customHeight="true" outlineLevel="0" collapsed="false">
      <c r="J734" s="44"/>
      <c r="M734" s="45"/>
    </row>
    <row r="735" customFormat="false" ht="15.75" hidden="false" customHeight="true" outlineLevel="0" collapsed="false">
      <c r="J735" s="44"/>
      <c r="M735" s="45"/>
    </row>
    <row r="736" customFormat="false" ht="15.75" hidden="false" customHeight="true" outlineLevel="0" collapsed="false">
      <c r="J736" s="44"/>
      <c r="M736" s="45"/>
    </row>
    <row r="737" customFormat="false" ht="15.75" hidden="false" customHeight="true" outlineLevel="0" collapsed="false">
      <c r="J737" s="44"/>
      <c r="M737" s="45"/>
    </row>
    <row r="738" customFormat="false" ht="15.75" hidden="false" customHeight="true" outlineLevel="0" collapsed="false">
      <c r="J738" s="44"/>
      <c r="M738" s="45"/>
    </row>
    <row r="739" customFormat="false" ht="15.75" hidden="false" customHeight="true" outlineLevel="0" collapsed="false">
      <c r="J739" s="44"/>
      <c r="M739" s="45"/>
    </row>
    <row r="740" customFormat="false" ht="15.75" hidden="false" customHeight="true" outlineLevel="0" collapsed="false">
      <c r="J740" s="44"/>
      <c r="M740" s="45"/>
    </row>
    <row r="741" customFormat="false" ht="15.75" hidden="false" customHeight="true" outlineLevel="0" collapsed="false">
      <c r="J741" s="44"/>
      <c r="M741" s="45"/>
    </row>
    <row r="742" customFormat="false" ht="15.75" hidden="false" customHeight="true" outlineLevel="0" collapsed="false">
      <c r="J742" s="44"/>
      <c r="M742" s="45"/>
    </row>
    <row r="743" customFormat="false" ht="15.75" hidden="false" customHeight="true" outlineLevel="0" collapsed="false">
      <c r="J743" s="44"/>
      <c r="M743" s="45"/>
    </row>
    <row r="744" customFormat="false" ht="15.75" hidden="false" customHeight="true" outlineLevel="0" collapsed="false">
      <c r="J744" s="44"/>
      <c r="M744" s="45"/>
    </row>
    <row r="745" customFormat="false" ht="15.75" hidden="false" customHeight="true" outlineLevel="0" collapsed="false">
      <c r="J745" s="44"/>
      <c r="M745" s="45"/>
    </row>
    <row r="746" customFormat="false" ht="15.75" hidden="false" customHeight="true" outlineLevel="0" collapsed="false">
      <c r="J746" s="44"/>
      <c r="M746" s="45"/>
    </row>
    <row r="747" customFormat="false" ht="15.75" hidden="false" customHeight="true" outlineLevel="0" collapsed="false">
      <c r="J747" s="44"/>
      <c r="M747" s="45"/>
    </row>
    <row r="748" customFormat="false" ht="15.75" hidden="false" customHeight="true" outlineLevel="0" collapsed="false">
      <c r="J748" s="44"/>
      <c r="M748" s="45"/>
    </row>
    <row r="749" customFormat="false" ht="15.75" hidden="false" customHeight="true" outlineLevel="0" collapsed="false">
      <c r="J749" s="44"/>
      <c r="M749" s="45"/>
    </row>
    <row r="750" customFormat="false" ht="15.75" hidden="false" customHeight="true" outlineLevel="0" collapsed="false">
      <c r="J750" s="44"/>
      <c r="M750" s="45"/>
    </row>
    <row r="751" customFormat="false" ht="15.75" hidden="false" customHeight="true" outlineLevel="0" collapsed="false">
      <c r="J751" s="44"/>
      <c r="M751" s="45"/>
    </row>
    <row r="752" customFormat="false" ht="15.75" hidden="false" customHeight="true" outlineLevel="0" collapsed="false">
      <c r="J752" s="44"/>
      <c r="M752" s="45"/>
    </row>
    <row r="753" customFormat="false" ht="15.75" hidden="false" customHeight="true" outlineLevel="0" collapsed="false">
      <c r="J753" s="44"/>
      <c r="M753" s="45"/>
    </row>
    <row r="754" customFormat="false" ht="15.75" hidden="false" customHeight="true" outlineLevel="0" collapsed="false">
      <c r="J754" s="44"/>
      <c r="M754" s="45"/>
    </row>
    <row r="755" customFormat="false" ht="15.75" hidden="false" customHeight="true" outlineLevel="0" collapsed="false">
      <c r="J755" s="44"/>
      <c r="M755" s="45"/>
    </row>
    <row r="756" customFormat="false" ht="15.75" hidden="false" customHeight="true" outlineLevel="0" collapsed="false">
      <c r="J756" s="44"/>
      <c r="M756" s="45"/>
    </row>
    <row r="757" customFormat="false" ht="15.75" hidden="false" customHeight="true" outlineLevel="0" collapsed="false">
      <c r="J757" s="44"/>
      <c r="M757" s="45"/>
    </row>
    <row r="758" customFormat="false" ht="15.75" hidden="false" customHeight="true" outlineLevel="0" collapsed="false">
      <c r="J758" s="44"/>
      <c r="M758" s="45"/>
    </row>
    <row r="759" customFormat="false" ht="15.75" hidden="false" customHeight="true" outlineLevel="0" collapsed="false">
      <c r="J759" s="44"/>
      <c r="M759" s="45"/>
    </row>
    <row r="760" customFormat="false" ht="15.75" hidden="false" customHeight="true" outlineLevel="0" collapsed="false">
      <c r="J760" s="44"/>
      <c r="M760" s="45"/>
    </row>
    <row r="761" customFormat="false" ht="15.75" hidden="false" customHeight="true" outlineLevel="0" collapsed="false">
      <c r="J761" s="44"/>
      <c r="M761" s="45"/>
    </row>
    <row r="762" customFormat="false" ht="15.75" hidden="false" customHeight="true" outlineLevel="0" collapsed="false">
      <c r="J762" s="44"/>
      <c r="M762" s="45"/>
    </row>
    <row r="763" customFormat="false" ht="15.75" hidden="false" customHeight="true" outlineLevel="0" collapsed="false">
      <c r="J763" s="44"/>
      <c r="M763" s="45"/>
    </row>
    <row r="764" customFormat="false" ht="15.75" hidden="false" customHeight="true" outlineLevel="0" collapsed="false">
      <c r="J764" s="44"/>
      <c r="M764" s="45"/>
    </row>
    <row r="765" customFormat="false" ht="15.75" hidden="false" customHeight="true" outlineLevel="0" collapsed="false">
      <c r="J765" s="44"/>
      <c r="M765" s="45"/>
    </row>
    <row r="766" customFormat="false" ht="15.75" hidden="false" customHeight="true" outlineLevel="0" collapsed="false">
      <c r="J766" s="44"/>
      <c r="M766" s="45"/>
    </row>
    <row r="767" customFormat="false" ht="15.75" hidden="false" customHeight="true" outlineLevel="0" collapsed="false">
      <c r="J767" s="44"/>
      <c r="M767" s="45"/>
    </row>
    <row r="768" customFormat="false" ht="15.75" hidden="false" customHeight="true" outlineLevel="0" collapsed="false">
      <c r="J768" s="44"/>
      <c r="M768" s="45"/>
    </row>
    <row r="769" customFormat="false" ht="15.75" hidden="false" customHeight="true" outlineLevel="0" collapsed="false">
      <c r="J769" s="44"/>
      <c r="M769" s="45"/>
    </row>
    <row r="770" customFormat="false" ht="15.75" hidden="false" customHeight="true" outlineLevel="0" collapsed="false">
      <c r="J770" s="44"/>
      <c r="M770" s="45"/>
    </row>
    <row r="771" customFormat="false" ht="15.75" hidden="false" customHeight="true" outlineLevel="0" collapsed="false">
      <c r="J771" s="44"/>
      <c r="M771" s="45"/>
    </row>
    <row r="772" customFormat="false" ht="15.75" hidden="false" customHeight="true" outlineLevel="0" collapsed="false">
      <c r="J772" s="44"/>
      <c r="M772" s="45"/>
    </row>
    <row r="773" customFormat="false" ht="15.75" hidden="false" customHeight="true" outlineLevel="0" collapsed="false">
      <c r="J773" s="44"/>
      <c r="M773" s="45"/>
    </row>
    <row r="774" customFormat="false" ht="15.75" hidden="false" customHeight="true" outlineLevel="0" collapsed="false">
      <c r="J774" s="44"/>
      <c r="M774" s="45"/>
    </row>
    <row r="775" customFormat="false" ht="15.75" hidden="false" customHeight="true" outlineLevel="0" collapsed="false">
      <c r="J775" s="44"/>
      <c r="M775" s="45"/>
    </row>
    <row r="776" customFormat="false" ht="15.75" hidden="false" customHeight="true" outlineLevel="0" collapsed="false">
      <c r="J776" s="44"/>
      <c r="M776" s="45"/>
    </row>
    <row r="777" customFormat="false" ht="15.75" hidden="false" customHeight="true" outlineLevel="0" collapsed="false">
      <c r="J777" s="44"/>
      <c r="M777" s="45"/>
    </row>
    <row r="778" customFormat="false" ht="15.75" hidden="false" customHeight="true" outlineLevel="0" collapsed="false">
      <c r="J778" s="44"/>
      <c r="M778" s="45"/>
    </row>
    <row r="779" customFormat="false" ht="15.75" hidden="false" customHeight="true" outlineLevel="0" collapsed="false">
      <c r="J779" s="44"/>
      <c r="M779" s="45"/>
    </row>
    <row r="780" customFormat="false" ht="15.75" hidden="false" customHeight="true" outlineLevel="0" collapsed="false">
      <c r="J780" s="44"/>
      <c r="M780" s="45"/>
    </row>
    <row r="781" customFormat="false" ht="15.75" hidden="false" customHeight="true" outlineLevel="0" collapsed="false">
      <c r="J781" s="44"/>
      <c r="M781" s="45"/>
    </row>
    <row r="782" customFormat="false" ht="15.75" hidden="false" customHeight="true" outlineLevel="0" collapsed="false">
      <c r="J782" s="44"/>
      <c r="M782" s="45"/>
    </row>
    <row r="783" customFormat="false" ht="15.75" hidden="false" customHeight="true" outlineLevel="0" collapsed="false">
      <c r="J783" s="44"/>
      <c r="M783" s="45"/>
    </row>
    <row r="784" customFormat="false" ht="15.75" hidden="false" customHeight="true" outlineLevel="0" collapsed="false">
      <c r="J784" s="44"/>
      <c r="M784" s="45"/>
    </row>
    <row r="785" customFormat="false" ht="15.75" hidden="false" customHeight="true" outlineLevel="0" collapsed="false">
      <c r="J785" s="44"/>
      <c r="M785" s="45"/>
    </row>
    <row r="786" customFormat="false" ht="15.75" hidden="false" customHeight="true" outlineLevel="0" collapsed="false">
      <c r="J786" s="44"/>
      <c r="M786" s="45"/>
    </row>
    <row r="787" customFormat="false" ht="15.75" hidden="false" customHeight="true" outlineLevel="0" collapsed="false">
      <c r="J787" s="44"/>
      <c r="M787" s="45"/>
    </row>
    <row r="788" customFormat="false" ht="15.75" hidden="false" customHeight="true" outlineLevel="0" collapsed="false">
      <c r="J788" s="44"/>
      <c r="M788" s="45"/>
    </row>
    <row r="789" customFormat="false" ht="15.75" hidden="false" customHeight="true" outlineLevel="0" collapsed="false">
      <c r="J789" s="44"/>
      <c r="M789" s="45"/>
    </row>
    <row r="790" customFormat="false" ht="15.75" hidden="false" customHeight="true" outlineLevel="0" collapsed="false">
      <c r="J790" s="44"/>
      <c r="M790" s="45"/>
    </row>
    <row r="791" customFormat="false" ht="15.75" hidden="false" customHeight="true" outlineLevel="0" collapsed="false">
      <c r="J791" s="44"/>
      <c r="M791" s="45"/>
    </row>
    <row r="792" customFormat="false" ht="15.75" hidden="false" customHeight="true" outlineLevel="0" collapsed="false">
      <c r="J792" s="44"/>
      <c r="M792" s="45"/>
    </row>
    <row r="793" customFormat="false" ht="15.75" hidden="false" customHeight="true" outlineLevel="0" collapsed="false">
      <c r="J793" s="44"/>
      <c r="M793" s="45"/>
    </row>
    <row r="794" customFormat="false" ht="15.75" hidden="false" customHeight="true" outlineLevel="0" collapsed="false">
      <c r="J794" s="44"/>
      <c r="M794" s="45"/>
    </row>
    <row r="795" customFormat="false" ht="15.75" hidden="false" customHeight="true" outlineLevel="0" collapsed="false">
      <c r="J795" s="44"/>
      <c r="M795" s="45"/>
    </row>
    <row r="796" customFormat="false" ht="15.75" hidden="false" customHeight="true" outlineLevel="0" collapsed="false">
      <c r="J796" s="44"/>
      <c r="M796" s="45"/>
    </row>
    <row r="797" customFormat="false" ht="15.75" hidden="false" customHeight="true" outlineLevel="0" collapsed="false">
      <c r="J797" s="44"/>
      <c r="M797" s="45"/>
    </row>
    <row r="798" customFormat="false" ht="15.75" hidden="false" customHeight="true" outlineLevel="0" collapsed="false">
      <c r="J798" s="44"/>
      <c r="M798" s="45"/>
    </row>
    <row r="799" customFormat="false" ht="15.75" hidden="false" customHeight="true" outlineLevel="0" collapsed="false">
      <c r="J799" s="44"/>
      <c r="M799" s="45"/>
    </row>
    <row r="800" customFormat="false" ht="15.75" hidden="false" customHeight="true" outlineLevel="0" collapsed="false">
      <c r="J800" s="44"/>
      <c r="M800" s="45"/>
    </row>
    <row r="801" customFormat="false" ht="15.75" hidden="false" customHeight="true" outlineLevel="0" collapsed="false">
      <c r="J801" s="44"/>
      <c r="M801" s="45"/>
    </row>
    <row r="802" customFormat="false" ht="15.75" hidden="false" customHeight="true" outlineLevel="0" collapsed="false">
      <c r="J802" s="44"/>
      <c r="M802" s="45"/>
    </row>
    <row r="803" customFormat="false" ht="15.75" hidden="false" customHeight="true" outlineLevel="0" collapsed="false">
      <c r="J803" s="44"/>
      <c r="M803" s="45"/>
    </row>
    <row r="804" customFormat="false" ht="15.75" hidden="false" customHeight="true" outlineLevel="0" collapsed="false">
      <c r="J804" s="44"/>
      <c r="M804" s="45"/>
    </row>
    <row r="805" customFormat="false" ht="15.75" hidden="false" customHeight="true" outlineLevel="0" collapsed="false">
      <c r="J805" s="44"/>
      <c r="M805" s="45"/>
    </row>
    <row r="806" customFormat="false" ht="15.75" hidden="false" customHeight="true" outlineLevel="0" collapsed="false">
      <c r="J806" s="44"/>
      <c r="M806" s="45"/>
    </row>
    <row r="807" customFormat="false" ht="15.75" hidden="false" customHeight="true" outlineLevel="0" collapsed="false">
      <c r="J807" s="44"/>
      <c r="M807" s="45"/>
    </row>
    <row r="808" customFormat="false" ht="15.75" hidden="false" customHeight="true" outlineLevel="0" collapsed="false">
      <c r="J808" s="44"/>
      <c r="M808" s="45"/>
    </row>
    <row r="809" customFormat="false" ht="15.75" hidden="false" customHeight="true" outlineLevel="0" collapsed="false">
      <c r="J809" s="44"/>
      <c r="M809" s="45"/>
    </row>
    <row r="810" customFormat="false" ht="15.75" hidden="false" customHeight="true" outlineLevel="0" collapsed="false">
      <c r="J810" s="44"/>
      <c r="M810" s="45"/>
    </row>
    <row r="811" customFormat="false" ht="15.75" hidden="false" customHeight="true" outlineLevel="0" collapsed="false">
      <c r="J811" s="44"/>
      <c r="M811" s="45"/>
    </row>
    <row r="812" customFormat="false" ht="15.75" hidden="false" customHeight="true" outlineLevel="0" collapsed="false">
      <c r="J812" s="44"/>
      <c r="M812" s="45"/>
    </row>
    <row r="813" customFormat="false" ht="15.75" hidden="false" customHeight="true" outlineLevel="0" collapsed="false">
      <c r="J813" s="44"/>
      <c r="M813" s="45"/>
    </row>
    <row r="814" customFormat="false" ht="15.75" hidden="false" customHeight="true" outlineLevel="0" collapsed="false">
      <c r="J814" s="44"/>
      <c r="M814" s="45"/>
    </row>
    <row r="815" customFormat="false" ht="15.75" hidden="false" customHeight="true" outlineLevel="0" collapsed="false">
      <c r="J815" s="44"/>
      <c r="M815" s="45"/>
    </row>
    <row r="816" customFormat="false" ht="15.75" hidden="false" customHeight="true" outlineLevel="0" collapsed="false">
      <c r="J816" s="44"/>
      <c r="M816" s="45"/>
    </row>
    <row r="817" customFormat="false" ht="15.75" hidden="false" customHeight="true" outlineLevel="0" collapsed="false">
      <c r="J817" s="44"/>
      <c r="M817" s="45"/>
    </row>
    <row r="818" customFormat="false" ht="15.75" hidden="false" customHeight="true" outlineLevel="0" collapsed="false">
      <c r="J818" s="44"/>
      <c r="M818" s="45"/>
    </row>
    <row r="819" customFormat="false" ht="15.75" hidden="false" customHeight="true" outlineLevel="0" collapsed="false">
      <c r="J819" s="44"/>
      <c r="M819" s="45"/>
    </row>
    <row r="820" customFormat="false" ht="15.75" hidden="false" customHeight="true" outlineLevel="0" collapsed="false">
      <c r="J820" s="44"/>
      <c r="M820" s="45"/>
    </row>
    <row r="821" customFormat="false" ht="15.75" hidden="false" customHeight="true" outlineLevel="0" collapsed="false">
      <c r="J821" s="44"/>
      <c r="M821" s="45"/>
    </row>
    <row r="822" customFormat="false" ht="15.75" hidden="false" customHeight="true" outlineLevel="0" collapsed="false">
      <c r="J822" s="44"/>
      <c r="M822" s="45"/>
    </row>
    <row r="823" customFormat="false" ht="15.75" hidden="false" customHeight="true" outlineLevel="0" collapsed="false">
      <c r="J823" s="44"/>
      <c r="M823" s="45"/>
    </row>
    <row r="824" customFormat="false" ht="15.75" hidden="false" customHeight="true" outlineLevel="0" collapsed="false">
      <c r="J824" s="44"/>
      <c r="M824" s="45"/>
    </row>
    <row r="825" customFormat="false" ht="15.75" hidden="false" customHeight="true" outlineLevel="0" collapsed="false">
      <c r="J825" s="44"/>
      <c r="M825" s="45"/>
    </row>
    <row r="826" customFormat="false" ht="15.75" hidden="false" customHeight="true" outlineLevel="0" collapsed="false">
      <c r="J826" s="44"/>
      <c r="M826" s="45"/>
    </row>
    <row r="827" customFormat="false" ht="15.75" hidden="false" customHeight="true" outlineLevel="0" collapsed="false">
      <c r="J827" s="44"/>
      <c r="M827" s="45"/>
    </row>
    <row r="828" customFormat="false" ht="15.75" hidden="false" customHeight="true" outlineLevel="0" collapsed="false">
      <c r="J828" s="44"/>
      <c r="M828" s="45"/>
    </row>
    <row r="829" customFormat="false" ht="15.75" hidden="false" customHeight="true" outlineLevel="0" collapsed="false">
      <c r="J829" s="44"/>
      <c r="M829" s="45"/>
    </row>
    <row r="830" customFormat="false" ht="15.75" hidden="false" customHeight="true" outlineLevel="0" collapsed="false">
      <c r="J830" s="44"/>
      <c r="M830" s="45"/>
    </row>
    <row r="831" customFormat="false" ht="15.75" hidden="false" customHeight="true" outlineLevel="0" collapsed="false">
      <c r="J831" s="44"/>
      <c r="M831" s="45"/>
    </row>
    <row r="832" customFormat="false" ht="15.75" hidden="false" customHeight="true" outlineLevel="0" collapsed="false">
      <c r="J832" s="44"/>
      <c r="M832" s="45"/>
    </row>
    <row r="833" customFormat="false" ht="15.75" hidden="false" customHeight="true" outlineLevel="0" collapsed="false">
      <c r="J833" s="44"/>
      <c r="M833" s="45"/>
    </row>
    <row r="834" customFormat="false" ht="15.75" hidden="false" customHeight="true" outlineLevel="0" collapsed="false">
      <c r="J834" s="44"/>
      <c r="M834" s="45"/>
    </row>
    <row r="835" customFormat="false" ht="15.75" hidden="false" customHeight="true" outlineLevel="0" collapsed="false">
      <c r="J835" s="44"/>
      <c r="M835" s="45"/>
    </row>
    <row r="836" customFormat="false" ht="15.75" hidden="false" customHeight="true" outlineLevel="0" collapsed="false">
      <c r="J836" s="44"/>
      <c r="M836" s="45"/>
    </row>
    <row r="837" customFormat="false" ht="15.75" hidden="false" customHeight="true" outlineLevel="0" collapsed="false">
      <c r="J837" s="44"/>
      <c r="M837" s="45"/>
    </row>
    <row r="838" customFormat="false" ht="15.75" hidden="false" customHeight="true" outlineLevel="0" collapsed="false">
      <c r="J838" s="44"/>
      <c r="M838" s="45"/>
    </row>
    <row r="839" customFormat="false" ht="15.75" hidden="false" customHeight="true" outlineLevel="0" collapsed="false">
      <c r="J839" s="44"/>
      <c r="M839" s="45"/>
    </row>
    <row r="840" customFormat="false" ht="15.75" hidden="false" customHeight="true" outlineLevel="0" collapsed="false">
      <c r="J840" s="44"/>
      <c r="M840" s="45"/>
    </row>
    <row r="841" customFormat="false" ht="15.75" hidden="false" customHeight="true" outlineLevel="0" collapsed="false">
      <c r="J841" s="44"/>
      <c r="M841" s="45"/>
    </row>
    <row r="842" customFormat="false" ht="15.75" hidden="false" customHeight="true" outlineLevel="0" collapsed="false">
      <c r="J842" s="44"/>
      <c r="M842" s="45"/>
    </row>
    <row r="843" customFormat="false" ht="15.75" hidden="false" customHeight="true" outlineLevel="0" collapsed="false">
      <c r="J843" s="44"/>
      <c r="M843" s="45"/>
    </row>
    <row r="844" customFormat="false" ht="15.75" hidden="false" customHeight="true" outlineLevel="0" collapsed="false">
      <c r="J844" s="44"/>
      <c r="M844" s="45"/>
    </row>
    <row r="845" customFormat="false" ht="15.75" hidden="false" customHeight="true" outlineLevel="0" collapsed="false">
      <c r="J845" s="44"/>
      <c r="M845" s="45"/>
    </row>
    <row r="846" customFormat="false" ht="15.75" hidden="false" customHeight="true" outlineLevel="0" collapsed="false">
      <c r="J846" s="44"/>
      <c r="M846" s="45"/>
    </row>
    <row r="847" customFormat="false" ht="15.75" hidden="false" customHeight="true" outlineLevel="0" collapsed="false">
      <c r="J847" s="44"/>
      <c r="M847" s="45"/>
    </row>
    <row r="848" customFormat="false" ht="15.75" hidden="false" customHeight="true" outlineLevel="0" collapsed="false">
      <c r="J848" s="44"/>
      <c r="M848" s="45"/>
    </row>
    <row r="849" customFormat="false" ht="15.75" hidden="false" customHeight="true" outlineLevel="0" collapsed="false">
      <c r="J849" s="44"/>
      <c r="M849" s="45"/>
    </row>
    <row r="850" customFormat="false" ht="15.75" hidden="false" customHeight="true" outlineLevel="0" collapsed="false">
      <c r="J850" s="44"/>
      <c r="M850" s="45"/>
    </row>
    <row r="851" customFormat="false" ht="15.75" hidden="false" customHeight="true" outlineLevel="0" collapsed="false">
      <c r="J851" s="44"/>
      <c r="M851" s="45"/>
    </row>
    <row r="852" customFormat="false" ht="15.75" hidden="false" customHeight="true" outlineLevel="0" collapsed="false">
      <c r="J852" s="44"/>
      <c r="M852" s="45"/>
    </row>
    <row r="853" customFormat="false" ht="15.75" hidden="false" customHeight="true" outlineLevel="0" collapsed="false">
      <c r="J853" s="44"/>
      <c r="M853" s="45"/>
    </row>
    <row r="854" customFormat="false" ht="15.75" hidden="false" customHeight="true" outlineLevel="0" collapsed="false">
      <c r="J854" s="44"/>
      <c r="M854" s="45"/>
    </row>
    <row r="855" customFormat="false" ht="15.75" hidden="false" customHeight="true" outlineLevel="0" collapsed="false">
      <c r="J855" s="44"/>
      <c r="M855" s="45"/>
    </row>
    <row r="856" customFormat="false" ht="15.75" hidden="false" customHeight="true" outlineLevel="0" collapsed="false">
      <c r="J856" s="44"/>
      <c r="M856" s="45"/>
    </row>
    <row r="857" customFormat="false" ht="15.75" hidden="false" customHeight="true" outlineLevel="0" collapsed="false">
      <c r="J857" s="44"/>
      <c r="M857" s="45"/>
    </row>
    <row r="858" customFormat="false" ht="15.75" hidden="false" customHeight="true" outlineLevel="0" collapsed="false">
      <c r="J858" s="44"/>
      <c r="M858" s="45"/>
    </row>
    <row r="859" customFormat="false" ht="15.75" hidden="false" customHeight="true" outlineLevel="0" collapsed="false">
      <c r="J859" s="44"/>
      <c r="M859" s="45"/>
    </row>
    <row r="860" customFormat="false" ht="15.75" hidden="false" customHeight="true" outlineLevel="0" collapsed="false">
      <c r="J860" s="44"/>
      <c r="M860" s="45"/>
    </row>
    <row r="861" customFormat="false" ht="15.75" hidden="false" customHeight="true" outlineLevel="0" collapsed="false">
      <c r="J861" s="44"/>
      <c r="M861" s="45"/>
    </row>
    <row r="862" customFormat="false" ht="15.75" hidden="false" customHeight="true" outlineLevel="0" collapsed="false">
      <c r="J862" s="44"/>
      <c r="M862" s="45"/>
    </row>
    <row r="863" customFormat="false" ht="15.75" hidden="false" customHeight="true" outlineLevel="0" collapsed="false">
      <c r="J863" s="44"/>
      <c r="M863" s="45"/>
    </row>
    <row r="864" customFormat="false" ht="15.75" hidden="false" customHeight="true" outlineLevel="0" collapsed="false">
      <c r="J864" s="44"/>
      <c r="M864" s="45"/>
    </row>
    <row r="865" customFormat="false" ht="15.75" hidden="false" customHeight="true" outlineLevel="0" collapsed="false">
      <c r="J865" s="44"/>
      <c r="M865" s="45"/>
    </row>
    <row r="866" customFormat="false" ht="15.75" hidden="false" customHeight="true" outlineLevel="0" collapsed="false">
      <c r="J866" s="44"/>
      <c r="M866" s="45"/>
    </row>
    <row r="867" customFormat="false" ht="15.75" hidden="false" customHeight="true" outlineLevel="0" collapsed="false">
      <c r="J867" s="44"/>
      <c r="M867" s="45"/>
    </row>
    <row r="868" customFormat="false" ht="15.75" hidden="false" customHeight="true" outlineLevel="0" collapsed="false">
      <c r="J868" s="44"/>
      <c r="M868" s="45"/>
    </row>
    <row r="869" customFormat="false" ht="15.75" hidden="false" customHeight="true" outlineLevel="0" collapsed="false">
      <c r="J869" s="44"/>
      <c r="M869" s="45"/>
    </row>
    <row r="870" customFormat="false" ht="15.75" hidden="false" customHeight="true" outlineLevel="0" collapsed="false">
      <c r="J870" s="44"/>
      <c r="M870" s="45"/>
    </row>
    <row r="871" customFormat="false" ht="15.75" hidden="false" customHeight="true" outlineLevel="0" collapsed="false">
      <c r="J871" s="44"/>
      <c r="M871" s="45"/>
    </row>
    <row r="872" customFormat="false" ht="15.75" hidden="false" customHeight="true" outlineLevel="0" collapsed="false">
      <c r="J872" s="44"/>
      <c r="M872" s="45"/>
    </row>
    <row r="873" customFormat="false" ht="15.75" hidden="false" customHeight="true" outlineLevel="0" collapsed="false">
      <c r="J873" s="44"/>
      <c r="M873" s="45"/>
    </row>
    <row r="874" customFormat="false" ht="15.75" hidden="false" customHeight="true" outlineLevel="0" collapsed="false">
      <c r="J874" s="44"/>
      <c r="M874" s="45"/>
    </row>
    <row r="875" customFormat="false" ht="15.75" hidden="false" customHeight="true" outlineLevel="0" collapsed="false">
      <c r="J875" s="44"/>
      <c r="M875" s="45"/>
    </row>
    <row r="876" customFormat="false" ht="15.75" hidden="false" customHeight="true" outlineLevel="0" collapsed="false">
      <c r="J876" s="44"/>
      <c r="M876" s="45"/>
    </row>
    <row r="877" customFormat="false" ht="15.75" hidden="false" customHeight="true" outlineLevel="0" collapsed="false">
      <c r="J877" s="44"/>
      <c r="M877" s="45"/>
    </row>
    <row r="878" customFormat="false" ht="15.75" hidden="false" customHeight="true" outlineLevel="0" collapsed="false">
      <c r="J878" s="44"/>
      <c r="M878" s="45"/>
    </row>
    <row r="879" customFormat="false" ht="15.75" hidden="false" customHeight="true" outlineLevel="0" collapsed="false">
      <c r="J879" s="44"/>
      <c r="M879" s="45"/>
    </row>
    <row r="880" customFormat="false" ht="15.75" hidden="false" customHeight="true" outlineLevel="0" collapsed="false">
      <c r="J880" s="44"/>
      <c r="M880" s="45"/>
    </row>
    <row r="881" customFormat="false" ht="15.75" hidden="false" customHeight="true" outlineLevel="0" collapsed="false">
      <c r="J881" s="44"/>
      <c r="M881" s="45"/>
    </row>
    <row r="882" customFormat="false" ht="15.75" hidden="false" customHeight="true" outlineLevel="0" collapsed="false">
      <c r="J882" s="44"/>
      <c r="M882" s="45"/>
    </row>
    <row r="883" customFormat="false" ht="15.75" hidden="false" customHeight="true" outlineLevel="0" collapsed="false">
      <c r="J883" s="44"/>
      <c r="M883" s="45"/>
    </row>
    <row r="884" customFormat="false" ht="15.75" hidden="false" customHeight="true" outlineLevel="0" collapsed="false">
      <c r="J884" s="44"/>
      <c r="M884" s="45"/>
    </row>
    <row r="885" customFormat="false" ht="15.75" hidden="false" customHeight="true" outlineLevel="0" collapsed="false">
      <c r="J885" s="44"/>
      <c r="M885" s="45"/>
    </row>
    <row r="886" customFormat="false" ht="15.75" hidden="false" customHeight="true" outlineLevel="0" collapsed="false">
      <c r="J886" s="44"/>
      <c r="M886" s="45"/>
    </row>
    <row r="887" customFormat="false" ht="15.75" hidden="false" customHeight="true" outlineLevel="0" collapsed="false">
      <c r="J887" s="44"/>
      <c r="M887" s="45"/>
    </row>
    <row r="888" customFormat="false" ht="15.75" hidden="false" customHeight="true" outlineLevel="0" collapsed="false">
      <c r="J888" s="44"/>
      <c r="M888" s="45"/>
    </row>
    <row r="889" customFormat="false" ht="15.75" hidden="false" customHeight="true" outlineLevel="0" collapsed="false">
      <c r="J889" s="44"/>
      <c r="M889" s="45"/>
    </row>
    <row r="890" customFormat="false" ht="15.75" hidden="false" customHeight="true" outlineLevel="0" collapsed="false">
      <c r="J890" s="44"/>
      <c r="M890" s="45"/>
    </row>
    <row r="891" customFormat="false" ht="15.75" hidden="false" customHeight="true" outlineLevel="0" collapsed="false">
      <c r="J891" s="44"/>
      <c r="M891" s="45"/>
    </row>
    <row r="892" customFormat="false" ht="15.75" hidden="false" customHeight="true" outlineLevel="0" collapsed="false">
      <c r="J892" s="44"/>
      <c r="M892" s="45"/>
    </row>
    <row r="893" customFormat="false" ht="15.75" hidden="false" customHeight="true" outlineLevel="0" collapsed="false">
      <c r="J893" s="44"/>
      <c r="M893" s="45"/>
    </row>
    <row r="894" customFormat="false" ht="15.75" hidden="false" customHeight="true" outlineLevel="0" collapsed="false">
      <c r="J894" s="44"/>
      <c r="M894" s="45"/>
    </row>
    <row r="895" customFormat="false" ht="15.75" hidden="false" customHeight="true" outlineLevel="0" collapsed="false">
      <c r="J895" s="44"/>
      <c r="M895" s="45"/>
    </row>
    <row r="896" customFormat="false" ht="15.75" hidden="false" customHeight="true" outlineLevel="0" collapsed="false">
      <c r="J896" s="44"/>
      <c r="M896" s="45"/>
    </row>
    <row r="897" customFormat="false" ht="15.75" hidden="false" customHeight="true" outlineLevel="0" collapsed="false">
      <c r="J897" s="44"/>
      <c r="M897" s="45"/>
    </row>
    <row r="898" customFormat="false" ht="15.75" hidden="false" customHeight="true" outlineLevel="0" collapsed="false">
      <c r="J898" s="44"/>
      <c r="M898" s="45"/>
    </row>
    <row r="899" customFormat="false" ht="15.75" hidden="false" customHeight="true" outlineLevel="0" collapsed="false">
      <c r="J899" s="44"/>
      <c r="M899" s="45"/>
    </row>
    <row r="900" customFormat="false" ht="15.75" hidden="false" customHeight="true" outlineLevel="0" collapsed="false">
      <c r="J900" s="44"/>
      <c r="M900" s="45"/>
    </row>
    <row r="901" customFormat="false" ht="15.75" hidden="false" customHeight="true" outlineLevel="0" collapsed="false">
      <c r="J901" s="44"/>
      <c r="M901" s="45"/>
    </row>
    <row r="902" customFormat="false" ht="15.75" hidden="false" customHeight="true" outlineLevel="0" collapsed="false">
      <c r="J902" s="44"/>
      <c r="M902" s="45"/>
    </row>
    <row r="903" customFormat="false" ht="15.75" hidden="false" customHeight="true" outlineLevel="0" collapsed="false">
      <c r="J903" s="44"/>
      <c r="M903" s="45"/>
    </row>
    <row r="904" customFormat="false" ht="15.75" hidden="false" customHeight="true" outlineLevel="0" collapsed="false">
      <c r="J904" s="44"/>
      <c r="M904" s="45"/>
    </row>
    <row r="905" customFormat="false" ht="15.75" hidden="false" customHeight="true" outlineLevel="0" collapsed="false">
      <c r="J905" s="44"/>
      <c r="M905" s="45"/>
    </row>
    <row r="906" customFormat="false" ht="15.75" hidden="false" customHeight="true" outlineLevel="0" collapsed="false">
      <c r="J906" s="44"/>
      <c r="M906" s="45"/>
    </row>
    <row r="907" customFormat="false" ht="15.75" hidden="false" customHeight="true" outlineLevel="0" collapsed="false">
      <c r="J907" s="44"/>
      <c r="M907" s="45"/>
    </row>
    <row r="908" customFormat="false" ht="15.75" hidden="false" customHeight="true" outlineLevel="0" collapsed="false">
      <c r="J908" s="44"/>
      <c r="M908" s="45"/>
    </row>
    <row r="909" customFormat="false" ht="15.75" hidden="false" customHeight="true" outlineLevel="0" collapsed="false">
      <c r="J909" s="44"/>
      <c r="M909" s="45"/>
    </row>
    <row r="910" customFormat="false" ht="15.75" hidden="false" customHeight="true" outlineLevel="0" collapsed="false">
      <c r="J910" s="44"/>
      <c r="M910" s="45"/>
    </row>
    <row r="911" customFormat="false" ht="15.75" hidden="false" customHeight="true" outlineLevel="0" collapsed="false">
      <c r="J911" s="44"/>
      <c r="M911" s="45"/>
    </row>
    <row r="912" customFormat="false" ht="15.75" hidden="false" customHeight="true" outlineLevel="0" collapsed="false">
      <c r="J912" s="44"/>
      <c r="M912" s="45"/>
    </row>
    <row r="913" customFormat="false" ht="15.75" hidden="false" customHeight="true" outlineLevel="0" collapsed="false">
      <c r="J913" s="44"/>
      <c r="M913" s="45"/>
    </row>
    <row r="914" customFormat="false" ht="15.75" hidden="false" customHeight="true" outlineLevel="0" collapsed="false">
      <c r="J914" s="44"/>
      <c r="M914" s="45"/>
    </row>
    <row r="915" customFormat="false" ht="15.75" hidden="false" customHeight="true" outlineLevel="0" collapsed="false">
      <c r="J915" s="44"/>
      <c r="M915" s="45"/>
    </row>
    <row r="916" customFormat="false" ht="15.75" hidden="false" customHeight="true" outlineLevel="0" collapsed="false">
      <c r="J916" s="44"/>
      <c r="M916" s="45"/>
    </row>
    <row r="917" customFormat="false" ht="15.75" hidden="false" customHeight="true" outlineLevel="0" collapsed="false">
      <c r="J917" s="44"/>
      <c r="M917" s="45"/>
    </row>
    <row r="918" customFormat="false" ht="15.75" hidden="false" customHeight="true" outlineLevel="0" collapsed="false">
      <c r="J918" s="44"/>
      <c r="M918" s="45"/>
    </row>
    <row r="919" customFormat="false" ht="15.75" hidden="false" customHeight="true" outlineLevel="0" collapsed="false">
      <c r="J919" s="44"/>
      <c r="M919" s="45"/>
    </row>
    <row r="920" customFormat="false" ht="15.75" hidden="false" customHeight="true" outlineLevel="0" collapsed="false">
      <c r="J920" s="44"/>
      <c r="M920" s="45"/>
    </row>
    <row r="921" customFormat="false" ht="15.75" hidden="false" customHeight="true" outlineLevel="0" collapsed="false">
      <c r="J921" s="44"/>
      <c r="M921" s="45"/>
    </row>
    <row r="922" customFormat="false" ht="15.75" hidden="false" customHeight="true" outlineLevel="0" collapsed="false">
      <c r="J922" s="44"/>
      <c r="M922" s="45"/>
    </row>
    <row r="923" customFormat="false" ht="15.75" hidden="false" customHeight="true" outlineLevel="0" collapsed="false">
      <c r="J923" s="44"/>
      <c r="M923" s="45"/>
    </row>
    <row r="924" customFormat="false" ht="15.75" hidden="false" customHeight="true" outlineLevel="0" collapsed="false">
      <c r="J924" s="44"/>
      <c r="M924" s="45"/>
    </row>
    <row r="925" customFormat="false" ht="15.75" hidden="false" customHeight="true" outlineLevel="0" collapsed="false">
      <c r="J925" s="44"/>
      <c r="M925" s="45"/>
    </row>
    <row r="926" customFormat="false" ht="15.75" hidden="false" customHeight="true" outlineLevel="0" collapsed="false">
      <c r="J926" s="44"/>
      <c r="M926" s="45"/>
    </row>
    <row r="927" customFormat="false" ht="15.75" hidden="false" customHeight="true" outlineLevel="0" collapsed="false">
      <c r="J927" s="44"/>
      <c r="M927" s="45"/>
    </row>
    <row r="928" customFormat="false" ht="15.75" hidden="false" customHeight="true" outlineLevel="0" collapsed="false">
      <c r="J928" s="44"/>
      <c r="M928" s="45"/>
    </row>
    <row r="929" customFormat="false" ht="15.75" hidden="false" customHeight="true" outlineLevel="0" collapsed="false">
      <c r="J929" s="44"/>
      <c r="M929" s="45"/>
    </row>
    <row r="930" customFormat="false" ht="15.75" hidden="false" customHeight="true" outlineLevel="0" collapsed="false">
      <c r="J930" s="44"/>
      <c r="M930" s="45"/>
    </row>
    <row r="931" customFormat="false" ht="15.75" hidden="false" customHeight="true" outlineLevel="0" collapsed="false">
      <c r="J931" s="44"/>
      <c r="M931" s="45"/>
    </row>
    <row r="932" customFormat="false" ht="15.75" hidden="false" customHeight="true" outlineLevel="0" collapsed="false">
      <c r="J932" s="44"/>
      <c r="M932" s="45"/>
    </row>
    <row r="933" customFormat="false" ht="15.75" hidden="false" customHeight="true" outlineLevel="0" collapsed="false">
      <c r="J933" s="44"/>
      <c r="M933" s="45"/>
    </row>
    <row r="934" customFormat="false" ht="15.75" hidden="false" customHeight="true" outlineLevel="0" collapsed="false">
      <c r="J934" s="44"/>
      <c r="M934" s="45"/>
    </row>
    <row r="935" customFormat="false" ht="15.75" hidden="false" customHeight="true" outlineLevel="0" collapsed="false">
      <c r="J935" s="44"/>
      <c r="M935" s="45"/>
    </row>
    <row r="936" customFormat="false" ht="15.75" hidden="false" customHeight="true" outlineLevel="0" collapsed="false">
      <c r="J936" s="44"/>
      <c r="M936" s="45"/>
    </row>
    <row r="937" customFormat="false" ht="15.75" hidden="false" customHeight="true" outlineLevel="0" collapsed="false">
      <c r="J937" s="44"/>
      <c r="M937" s="45"/>
    </row>
    <row r="938" customFormat="false" ht="15.75" hidden="false" customHeight="true" outlineLevel="0" collapsed="false">
      <c r="J938" s="44"/>
      <c r="M938" s="45"/>
    </row>
    <row r="939" customFormat="false" ht="15.75" hidden="false" customHeight="true" outlineLevel="0" collapsed="false">
      <c r="J939" s="44"/>
      <c r="M939" s="45"/>
    </row>
    <row r="940" customFormat="false" ht="15.75" hidden="false" customHeight="true" outlineLevel="0" collapsed="false">
      <c r="J940" s="44"/>
      <c r="M940" s="45"/>
    </row>
    <row r="941" customFormat="false" ht="15.75" hidden="false" customHeight="true" outlineLevel="0" collapsed="false">
      <c r="J941" s="44"/>
      <c r="M941" s="45"/>
    </row>
    <row r="942" customFormat="false" ht="15.75" hidden="false" customHeight="true" outlineLevel="0" collapsed="false">
      <c r="J942" s="44"/>
      <c r="M942" s="45"/>
    </row>
    <row r="943" customFormat="false" ht="15.75" hidden="false" customHeight="true" outlineLevel="0" collapsed="false">
      <c r="J943" s="44"/>
      <c r="M943" s="45"/>
    </row>
    <row r="944" customFormat="false" ht="15.75" hidden="false" customHeight="true" outlineLevel="0" collapsed="false">
      <c r="J944" s="44"/>
      <c r="M944" s="45"/>
    </row>
    <row r="945" customFormat="false" ht="15.75" hidden="false" customHeight="true" outlineLevel="0" collapsed="false">
      <c r="J945" s="44"/>
      <c r="M945" s="45"/>
    </row>
    <row r="946" customFormat="false" ht="15.75" hidden="false" customHeight="true" outlineLevel="0" collapsed="false">
      <c r="J946" s="44"/>
      <c r="M946" s="45"/>
    </row>
    <row r="947" customFormat="false" ht="15.75" hidden="false" customHeight="true" outlineLevel="0" collapsed="false">
      <c r="J947" s="44"/>
      <c r="M947" s="45"/>
    </row>
    <row r="948" customFormat="false" ht="15.75" hidden="false" customHeight="true" outlineLevel="0" collapsed="false">
      <c r="J948" s="44"/>
      <c r="M948" s="45"/>
    </row>
    <row r="949" customFormat="false" ht="15.75" hidden="false" customHeight="true" outlineLevel="0" collapsed="false">
      <c r="J949" s="44"/>
      <c r="M949" s="45"/>
    </row>
    <row r="950" customFormat="false" ht="15.75" hidden="false" customHeight="true" outlineLevel="0" collapsed="false">
      <c r="J950" s="44"/>
      <c r="M950" s="45"/>
    </row>
    <row r="951" customFormat="false" ht="15.75" hidden="false" customHeight="true" outlineLevel="0" collapsed="false">
      <c r="J951" s="44"/>
      <c r="M951" s="45"/>
    </row>
    <row r="952" customFormat="false" ht="15.75" hidden="false" customHeight="true" outlineLevel="0" collapsed="false">
      <c r="J952" s="44"/>
      <c r="M952" s="45"/>
    </row>
    <row r="953" customFormat="false" ht="15.75" hidden="false" customHeight="true" outlineLevel="0" collapsed="false">
      <c r="J953" s="44"/>
      <c r="M953" s="45"/>
    </row>
    <row r="954" customFormat="false" ht="15.75" hidden="false" customHeight="true" outlineLevel="0" collapsed="false">
      <c r="J954" s="44"/>
      <c r="M954" s="45"/>
    </row>
    <row r="955" customFormat="false" ht="15.75" hidden="false" customHeight="true" outlineLevel="0" collapsed="false">
      <c r="J955" s="44"/>
      <c r="M955" s="45"/>
    </row>
    <row r="956" customFormat="false" ht="15.75" hidden="false" customHeight="true" outlineLevel="0" collapsed="false">
      <c r="J956" s="44"/>
      <c r="M956" s="45"/>
    </row>
    <row r="957" customFormat="false" ht="15.75" hidden="false" customHeight="true" outlineLevel="0" collapsed="false">
      <c r="J957" s="44"/>
      <c r="M957" s="45"/>
    </row>
    <row r="958" customFormat="false" ht="15.75" hidden="false" customHeight="true" outlineLevel="0" collapsed="false">
      <c r="J958" s="44"/>
      <c r="M958" s="45"/>
    </row>
    <row r="959" customFormat="false" ht="15.75" hidden="false" customHeight="true" outlineLevel="0" collapsed="false">
      <c r="J959" s="44"/>
      <c r="M959" s="45"/>
    </row>
    <row r="960" customFormat="false" ht="15.75" hidden="false" customHeight="true" outlineLevel="0" collapsed="false">
      <c r="J960" s="44"/>
      <c r="M960" s="45"/>
    </row>
    <row r="961" customFormat="false" ht="15.75" hidden="false" customHeight="true" outlineLevel="0" collapsed="false">
      <c r="J961" s="44"/>
      <c r="M961" s="45"/>
    </row>
    <row r="962" customFormat="false" ht="15.75" hidden="false" customHeight="true" outlineLevel="0" collapsed="false">
      <c r="J962" s="44"/>
      <c r="M962" s="45"/>
    </row>
    <row r="963" customFormat="false" ht="15.75" hidden="false" customHeight="true" outlineLevel="0" collapsed="false">
      <c r="J963" s="44"/>
      <c r="M963" s="45"/>
    </row>
    <row r="964" customFormat="false" ht="15.75" hidden="false" customHeight="true" outlineLevel="0" collapsed="false">
      <c r="J964" s="44"/>
      <c r="M964" s="45"/>
    </row>
    <row r="965" customFormat="false" ht="15.75" hidden="false" customHeight="true" outlineLevel="0" collapsed="false">
      <c r="J965" s="44"/>
      <c r="M965" s="45"/>
    </row>
    <row r="966" customFormat="false" ht="15.75" hidden="false" customHeight="true" outlineLevel="0" collapsed="false">
      <c r="J966" s="44"/>
      <c r="M966" s="45"/>
    </row>
    <row r="967" customFormat="false" ht="15.75" hidden="false" customHeight="true" outlineLevel="0" collapsed="false">
      <c r="J967" s="44"/>
      <c r="M967" s="45"/>
    </row>
    <row r="968" customFormat="false" ht="15.75" hidden="false" customHeight="true" outlineLevel="0" collapsed="false">
      <c r="J968" s="44"/>
      <c r="M968" s="45"/>
    </row>
    <row r="969" customFormat="false" ht="15.75" hidden="false" customHeight="true" outlineLevel="0" collapsed="false">
      <c r="J969" s="44"/>
      <c r="M969" s="45"/>
    </row>
    <row r="970" customFormat="false" ht="15.75" hidden="false" customHeight="true" outlineLevel="0" collapsed="false">
      <c r="J970" s="44"/>
      <c r="M970" s="45"/>
    </row>
    <row r="971" customFormat="false" ht="15.75" hidden="false" customHeight="true" outlineLevel="0" collapsed="false">
      <c r="J971" s="44"/>
      <c r="M971" s="45"/>
    </row>
    <row r="972" customFormat="false" ht="15.75" hidden="false" customHeight="true" outlineLevel="0" collapsed="false">
      <c r="J972" s="44"/>
      <c r="M972" s="45"/>
    </row>
    <row r="973" customFormat="false" ht="15.75" hidden="false" customHeight="true" outlineLevel="0" collapsed="false">
      <c r="J973" s="44"/>
      <c r="M973" s="45"/>
    </row>
    <row r="974" customFormat="false" ht="15.75" hidden="false" customHeight="true" outlineLevel="0" collapsed="false">
      <c r="J974" s="44"/>
      <c r="M974" s="45"/>
    </row>
    <row r="975" customFormat="false" ht="15.75" hidden="false" customHeight="true" outlineLevel="0" collapsed="false">
      <c r="J975" s="44"/>
      <c r="M975" s="45"/>
    </row>
    <row r="976" customFormat="false" ht="15.75" hidden="false" customHeight="true" outlineLevel="0" collapsed="false">
      <c r="J976" s="44"/>
      <c r="M976" s="45"/>
    </row>
    <row r="977" customFormat="false" ht="15.75" hidden="false" customHeight="true" outlineLevel="0" collapsed="false">
      <c r="J977" s="44"/>
      <c r="M977" s="45"/>
    </row>
    <row r="978" customFormat="false" ht="15.75" hidden="false" customHeight="true" outlineLevel="0" collapsed="false">
      <c r="J978" s="44"/>
      <c r="M978" s="45"/>
    </row>
    <row r="979" customFormat="false" ht="15.75" hidden="false" customHeight="true" outlineLevel="0" collapsed="false">
      <c r="J979" s="44"/>
      <c r="M979" s="45"/>
    </row>
    <row r="980" customFormat="false" ht="15.75" hidden="false" customHeight="true" outlineLevel="0" collapsed="false">
      <c r="J980" s="44"/>
      <c r="M980" s="45"/>
    </row>
    <row r="981" customFormat="false" ht="15.75" hidden="false" customHeight="true" outlineLevel="0" collapsed="false">
      <c r="J981" s="44"/>
      <c r="M981" s="45"/>
    </row>
    <row r="982" customFormat="false" ht="15.75" hidden="false" customHeight="true" outlineLevel="0" collapsed="false">
      <c r="J982" s="44"/>
      <c r="M982" s="45"/>
    </row>
    <row r="983" customFormat="false" ht="15.75" hidden="false" customHeight="true" outlineLevel="0" collapsed="false">
      <c r="J983" s="44"/>
      <c r="M983" s="45"/>
    </row>
    <row r="984" customFormat="false" ht="15.75" hidden="false" customHeight="true" outlineLevel="0" collapsed="false">
      <c r="J984" s="44"/>
      <c r="M984" s="45"/>
    </row>
    <row r="985" customFormat="false" ht="15.75" hidden="false" customHeight="true" outlineLevel="0" collapsed="false">
      <c r="J985" s="44"/>
      <c r="M985" s="45"/>
    </row>
    <row r="986" customFormat="false" ht="15.75" hidden="false" customHeight="true" outlineLevel="0" collapsed="false">
      <c r="J986" s="44"/>
      <c r="M986" s="45"/>
    </row>
    <row r="987" customFormat="false" ht="15.75" hidden="false" customHeight="true" outlineLevel="0" collapsed="false">
      <c r="J987" s="44"/>
      <c r="M987" s="45"/>
    </row>
    <row r="988" customFormat="false" ht="15.75" hidden="false" customHeight="true" outlineLevel="0" collapsed="false">
      <c r="J988" s="44"/>
      <c r="M988" s="45"/>
    </row>
    <row r="989" customFormat="false" ht="15.75" hidden="false" customHeight="true" outlineLevel="0" collapsed="false">
      <c r="J989" s="44"/>
      <c r="M989" s="45"/>
    </row>
    <row r="990" customFormat="false" ht="15.75" hidden="false" customHeight="true" outlineLevel="0" collapsed="false">
      <c r="J990" s="44"/>
      <c r="M990" s="45"/>
    </row>
    <row r="991" customFormat="false" ht="15.75" hidden="false" customHeight="true" outlineLevel="0" collapsed="false">
      <c r="J991" s="44"/>
      <c r="M991" s="45"/>
    </row>
    <row r="992" customFormat="false" ht="15.75" hidden="false" customHeight="true" outlineLevel="0" collapsed="false">
      <c r="J992" s="44"/>
      <c r="M992" s="45"/>
    </row>
    <row r="993" customFormat="false" ht="15.75" hidden="false" customHeight="true" outlineLevel="0" collapsed="false">
      <c r="J993" s="44"/>
      <c r="M993" s="45"/>
    </row>
    <row r="994" customFormat="false" ht="15.75" hidden="false" customHeight="true" outlineLevel="0" collapsed="false">
      <c r="J994" s="44"/>
      <c r="M994" s="45"/>
    </row>
    <row r="995" customFormat="false" ht="15.75" hidden="false" customHeight="true" outlineLevel="0" collapsed="false">
      <c r="J995" s="44"/>
      <c r="M995" s="45"/>
    </row>
    <row r="996" customFormat="false" ht="15.75" hidden="false" customHeight="true" outlineLevel="0" collapsed="false">
      <c r="J996" s="44"/>
      <c r="M996" s="45"/>
    </row>
    <row r="997" customFormat="false" ht="15.75" hidden="false" customHeight="true" outlineLevel="0" collapsed="false">
      <c r="J997" s="44"/>
      <c r="M997" s="45"/>
    </row>
    <row r="998" customFormat="false" ht="15.75" hidden="false" customHeight="true" outlineLevel="0" collapsed="false">
      <c r="J998" s="44"/>
      <c r="M998" s="45"/>
    </row>
    <row r="999" customFormat="false" ht="15.75" hidden="false" customHeight="true" outlineLevel="0" collapsed="false">
      <c r="J999" s="44"/>
      <c r="M999" s="45"/>
    </row>
    <row r="1000" customFormat="false" ht="15.75" hidden="false" customHeight="true" outlineLevel="0" collapsed="false">
      <c r="J1000" s="44"/>
      <c r="M1000" s="45"/>
    </row>
    <row r="1001" customFormat="false" ht="15.75" hidden="false" customHeight="true" outlineLevel="0" collapsed="false">
      <c r="J1001" s="44"/>
      <c r="M1001" s="45"/>
    </row>
    <row r="1002" customFormat="false" ht="15.75" hidden="false" customHeight="true" outlineLevel="0" collapsed="false">
      <c r="J1002" s="44"/>
      <c r="M1002" s="45"/>
    </row>
    <row r="1003" customFormat="false" ht="15.75" hidden="false" customHeight="true" outlineLevel="0" collapsed="false">
      <c r="J1003" s="44"/>
      <c r="M1003" s="45"/>
    </row>
    <row r="1004" customFormat="false" ht="15.75" hidden="false" customHeight="true" outlineLevel="0" collapsed="false">
      <c r="J1004" s="44"/>
      <c r="M1004" s="45"/>
    </row>
    <row r="1005" customFormat="false" ht="15.75" hidden="false" customHeight="true" outlineLevel="0" collapsed="false">
      <c r="J1005" s="44"/>
      <c r="M1005" s="45"/>
    </row>
    <row r="1006" customFormat="false" ht="15.75" hidden="false" customHeight="true" outlineLevel="0" collapsed="false">
      <c r="J1006" s="44"/>
      <c r="M1006" s="45"/>
    </row>
    <row r="1007" customFormat="false" ht="15.75" hidden="false" customHeight="true" outlineLevel="0" collapsed="false">
      <c r="J1007" s="44"/>
      <c r="M1007" s="45"/>
    </row>
    <row r="1008" customFormat="false" ht="15.75" hidden="false" customHeight="true" outlineLevel="0" collapsed="false">
      <c r="J1008" s="44"/>
      <c r="M1008" s="45"/>
    </row>
  </sheetData>
  <mergeCells count="2">
    <mergeCell ref="B1:M1"/>
    <mergeCell ref="B2:M2"/>
  </mergeCells>
  <conditionalFormatting sqref="B26:M26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B22:M22">
    <cfRule type="cellIs" priority="4" operator="greaterThan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conditionalFormatting sqref="A24:J24 K24:K25 L24:M24">
    <cfRule type="cellIs" priority="6" operator="greaterThan" aboveAverage="0" equalAverage="0" bottom="0" percent="0" rank="0" text="" dxfId="4">
      <formula>0</formula>
    </cfRule>
  </conditionalFormatting>
  <conditionalFormatting sqref="A25:M25">
    <cfRule type="cellIs" priority="7" operator="greaterThan" aboveAverage="0" equalAverage="0" bottom="0" percent="0" rank="0" text="" dxfId="5">
      <formula>0</formula>
    </cfRule>
  </conditionalFormatting>
  <conditionalFormatting sqref="B22:N22">
    <cfRule type="cellIs" priority="8" operator="lessThan" aboveAverage="0" equalAverage="0" bottom="0" percent="0" rank="0" text="" dxfId="6">
      <formula>0</formula>
    </cfRule>
  </conditionalFormatting>
  <conditionalFormatting sqref="B23:N23">
    <cfRule type="cellIs" priority="9" operator="lessThan" aboveAverage="0" equalAverage="0" bottom="0" percent="0" rank="0" text="" dxfId="6">
      <formula>0</formula>
    </cfRule>
  </conditionalFormatting>
  <conditionalFormatting sqref="B27:N27">
    <cfRule type="cellIs" priority="10" operator="lessThan" aboveAverage="0" equalAverage="0" bottom="0" percent="0" rank="0" text="" dxfId="6">
      <formula>0</formula>
    </cfRule>
  </conditionalFormatting>
  <hyperlinks>
    <hyperlink ref="B1" r:id="rId2" display="Esta es una plantilla para que puedas crear un plan financiero anual y hacer un seguimiento mensual de las finanzas de tu centro. Los datos son inventados y te servirán de ejemplo.&#10;Añade la planificación de todo el año 2027 (solo las líneas de color lila) y después, mes a mes, actualiza esas mismas casillas con tus datos reales: el resto se calcula solo. Pon la facturación con IVA y los gastos sin IVA.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2021-12-14T12:59:23Z</dcterms:created>
  <dc:creator>FRANK</dc:creator>
  <dc:description/>
  <dc:language>en-US</dc:language>
  <cp:lastModifiedBy/>
  <dcterms:modified xsi:type="dcterms:W3CDTF">2026-10-14T11:55:53Z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